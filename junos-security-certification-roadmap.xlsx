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9d5fb6488a46a7" /></Relationships>
</file>

<file path=xl/workbook.xml><?xml version="1.0" encoding="utf-8"?>
<x:workbook xmlns:x="http://schemas.openxmlformats.org/spreadsheetml/2006/main">
  <x:sheets>
    <x:sheet xmlns:r="http://schemas.openxmlformats.org/officeDocument/2006/relationships" name="Dashboard" sheetId="1" r:id="R437c6ebf154f4700"/>
    <x:sheet xmlns:r="http://schemas.openxmlformats.org/officeDocument/2006/relationships" name="Roadmap" sheetId="2" r:id="Rc2d225b43b354ba8"/>
    <x:sheet xmlns:r="http://schemas.openxmlformats.org/officeDocument/2006/relationships" name="Labs" sheetId="3" r:id="R2193ae0d924f4bda"/>
    <x:sheet xmlns:r="http://schemas.openxmlformats.org/officeDocument/2006/relationships" name="Images" sheetId="4" r:id="R5187a377ff16497c"/>
    <x:sheet xmlns:r="http://schemas.openxmlformats.org/officeDocument/2006/relationships" name="Sources" sheetId="5" r:id="Rca9f507f6356494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4">
    <x:font>
      <x:sz val="11"/>
      <x:name val="Carlito"/>
    </x:font>
    <x:font>
      <x:b/>
      <x:sz val="16"/>
      <x:color rgb="FFFFFFFF"/>
      <x:name val="Carlito"/>
    </x:font>
    <x:font>
      <x:b/>
      <x:sz val="11"/>
      <x:color rgb="FFFFFFFF"/>
      <x:name val="Carlito"/>
    </x:font>
    <x:font>
      <x:b/>
      <x:sz val="12"/>
      <x:color rgb="FF17365D"/>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dxfs count="3">
    <x:dxf>
      <x:font>
        <x:color rgb="FF006100"/>
      </x:font>
      <x:fill>
        <x:patternFill patternType="solid">
          <x:bgColor rgb="FFC6EFCE"/>
        </x:patternFill>
      </x:fill>
    </x:dxf>
    <x:dxf>
      <x:font>
        <x:color rgb="FF7F6000"/>
      </x:font>
      <x:fill>
        <x:patternFill patternType="solid">
          <x:bgColor rgb="FFFFF2CC"/>
        </x:patternFill>
      </x:fill>
    </x:dxf>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0a756e5dce41d4" /><Relationship Type="http://schemas.openxmlformats.org/officeDocument/2006/relationships/theme" Target="/xl/theme/theme1.xml" Id="R86a93635afc347c4" /><Relationship Type="http://schemas.openxmlformats.org/officeDocument/2006/relationships/sharedStrings" Target="/xl/sharedStrings.xml" Id="R81d0272304e545f2" /><Relationship Type="http://schemas.openxmlformats.org/officeDocument/2006/relationships/worksheet" Target="/xl/worksheets/sheet1.xml" Id="R437c6ebf154f4700" /><Relationship Type="http://schemas.openxmlformats.org/officeDocument/2006/relationships/worksheet" Target="/xl/worksheets/sheet2.xml" Id="Rc2d225b43b354ba8" /><Relationship Type="http://schemas.openxmlformats.org/officeDocument/2006/relationships/worksheet" Target="/xl/worksheets/sheet3.xml" Id="R2193ae0d924f4bda" /><Relationship Type="http://schemas.openxmlformats.org/officeDocument/2006/relationships/worksheet" Target="/xl/worksheets/sheet4.xml" Id="R5187a377ff16497c" /><Relationship Type="http://schemas.openxmlformats.org/officeDocument/2006/relationships/worksheet" Target="/xl/worksheets/sheet5.xml" Id="Rca9f507f63564947" /></Relationships>
</file>

<file path=xl/drawings/_rels/drawing1.xml.rels>&#65279;<?xml version="1.0" encoding="utf-8"?><Relationships xmlns="http://schemas.openxmlformats.org/package/2006/relationships"><Relationship Type="http://schemas.openxmlformats.org/officeDocument/2006/relationships/chart" Target="/xl/drawings/charts/chart1.xml" Id="R922e646f57124a3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Certification Progress (Items)</a:t>
            </a:r>
          </a:p>
        </c:rich>
      </c:tx>
    </c:title>
    <c:plotArea>
      <c:barChart>
        <c:barDir val="col"/>
        <c:grouping val="clustered"/>
        <c:varyColors val="0"/>
        <c:ser>
          <c:idx val="0"/>
          <c:order val="0"/>
          <c:tx>
            <c:v>Objective Count</c:v>
          </c:tx>
          <c:cat>
            <c:strRef>
              <c:f>'Dashboard'!$A$4:$A$7</c:f>
              <c:strCache>
                <c:ptCount val="0"/>
              </c:strCache>
            </c:strRef>
          </c:cat>
          <c:val>
            <c:numRef>
              <c:f>'Dashboard'!$B$4:$B$7</c:f>
              <c:numCache>
                <c:formatCode>General</c:formatCode>
                <c:ptCount val="0"/>
              </c:numCache>
            </c:numRef>
          </c:val>
        </c:ser>
        <c:ser>
          <c:idx val="1"/>
          <c:order val="1"/>
          <c:tx>
            <c:v>Completed</c:v>
          </c:tx>
          <c:cat>
            <c:strRef>
              <c:f>'Dashboard'!$A$4:$A$7</c:f>
              <c:strCache>
                <c:ptCount val="0"/>
              </c:strCache>
            </c:strRef>
          </c:cat>
          <c:val>
            <c:numRef>
              <c:f>'Dashboard'!$C$4:$C$7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8</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2e646f57124a3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a6d367117f342bc"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3" max="3" width="12" hidden="0" customWidth="1"/>
    <x:col min="4" max="4" width="12" hidden="0" customWidth="1"/>
    <x:col min="5" max="5" width="12" hidden="0" customWidth="1"/>
    <x:col min="6" max="6" width="12" hidden="0" customWidth="1"/>
    <x:col min="7" max="7" width="16" hidden="0" customWidth="1"/>
    <x:col min="8" max="8" width="12" hidden="0" customWidth="1"/>
  </x:cols>
  <x:sheetData>
    <x:row r="1">
      <x:c r="A1" s="5" t="str">
        <x:v>Junos Security Track — Progress Dashboard</x:v>
      </x:c>
      <x:c r="B1" s="5"/>
      <x:c r="C1" s="5"/>
      <x:c r="D1" s="5"/>
      <x:c r="E1" s="5"/>
      <x:c r="F1" s="5"/>
      <x:c r="G1" s="5"/>
      <x:c r="H1" s="5"/>
    </x:row>
    <x:row r="3">
      <x:c r="A3" s="16" t="str">
        <x:v>Certification</x:v>
      </x:c>
      <x:c r="B3" s="16" t="str">
        <x:v>Objective Count</x:v>
      </x:c>
      <x:c r="C3" s="16" t="str">
        <x:v>Completed</x:v>
      </x:c>
      <x:c r="D3" s="16" t="str">
        <x:v>In Progress</x:v>
      </x:c>
      <x:c r="E3" s="16" t="str">
        <x:v>Lab-Ready</x:v>
      </x:c>
      <x:c r="F3" s="16" t="str">
        <x:v>Blocked</x:v>
      </x:c>
      <x:c r="G3" s="16" t="str">
        <x:v>Estimated Hours</x:v>
      </x:c>
      <x:c r="H3" s="16" t="str">
        <x:v>Progress</x:v>
      </x:c>
    </x:row>
    <x:row r="4">
      <x:c r="A4" s="22" t="str">
        <x:v>JNCIA-SEC</x:v>
      </x:c>
      <x:c r="B4" s="22" t="n">
        <x:f>COUNTIF(Roadmap!$B$5:$B$31,"JNCIA-SEC")</x:f>
        <x:v>8</x:v>
      </x:c>
      <x:c r="C4" s="22" t="n">
        <x:f>COUNTIFS(Roadmap!$B$5:$B$31,"JNCIA-SEC",Roadmap!$J$5:$J$31,"Complete")</x:f>
        <x:v>0</x:v>
      </x:c>
      <x:c r="D4" s="22" t="n">
        <x:f>COUNTIFS(Roadmap!$B$5:$B$31,"JNCIA-SEC",Roadmap!$J$5:$J$31,"In Progress")</x:f>
        <x:v>0</x:v>
      </x:c>
      <x:c r="E4" s="22" t="n">
        <x:f>COUNTIFS(Roadmap!$B$5:$B$31,"JNCIA-SEC",Roadmap!$J$5:$J$31,"Lab Ready")</x:f>
        <x:v>0</x:v>
      </x:c>
      <x:c r="F4" s="22" t="n">
        <x:f>COUNTIFS(Roadmap!$B$5:$B$31,"JNCIA-SEC",Roadmap!$J$5:$J$31,"Blocked")</x:f>
        <x:v>0</x:v>
      </x:c>
      <x:c r="G4" s="22" t="n">
        <x:f>SUMIF(Roadmap!$B$5:$B$31,"JNCIA-SEC",Roadmap!$I$5:$I$31)</x:f>
        <x:v>47</x:v>
      </x:c>
      <x:c r="H4" s="25" t="n">
        <x:f>IF(B4=0,0,C4/B4)</x:f>
        <x:v>0</x:v>
      </x:c>
    </x:row>
    <x:row r="5">
      <x:c r="A5" s="22" t="str">
        <x:v>JNCIS-SEC</x:v>
      </x:c>
      <x:c r="B5" s="22" t="n">
        <x:f>COUNTIF(Roadmap!$B$5:$B$31,"JNCIS-SEC")</x:f>
        <x:v>9</x:v>
      </x:c>
      <x:c r="C5" s="22" t="n">
        <x:f>COUNTIFS(Roadmap!$B$5:$B$31,"JNCIS-SEC",Roadmap!$J$5:$J$31,"Complete")</x:f>
        <x:v>0</x:v>
      </x:c>
      <x:c r="D5" s="22" t="n">
        <x:f>COUNTIFS(Roadmap!$B$5:$B$31,"JNCIS-SEC",Roadmap!$J$5:$J$31,"In Progress")</x:f>
        <x:v>0</x:v>
      </x:c>
      <x:c r="E5" s="22" t="n">
        <x:f>COUNTIFS(Roadmap!$B$5:$B$31,"JNCIS-SEC",Roadmap!$J$5:$J$31,"Lab Ready")</x:f>
        <x:v>0</x:v>
      </x:c>
      <x:c r="F5" s="22" t="n">
        <x:f>COUNTIFS(Roadmap!$B$5:$B$31,"JNCIS-SEC",Roadmap!$J$5:$J$31,"Blocked")</x:f>
        <x:v>0</x:v>
      </x:c>
      <x:c r="G5" s="22" t="n">
        <x:f>SUMIF(Roadmap!$B$5:$B$31,"JNCIS-SEC",Roadmap!$I$5:$I$31)</x:f>
        <x:v>61</x:v>
      </x:c>
      <x:c r="H5" s="25" t="n">
        <x:f>IF(B5=0,0,C5/B5)</x:f>
        <x:v>0</x:v>
      </x:c>
    </x:row>
    <x:row r="6">
      <x:c r="A6" s="22" t="str">
        <x:v>JNCIP-SEC</x:v>
      </x:c>
      <x:c r="B6" s="22" t="n">
        <x:f>COUNTIF(Roadmap!$B$5:$B$31,"JNCIP-SEC")</x:f>
        <x:v>9</x:v>
      </x:c>
      <x:c r="C6" s="22" t="n">
        <x:f>COUNTIFS(Roadmap!$B$5:$B$31,"JNCIP-SEC",Roadmap!$J$5:$J$31,"Complete")</x:f>
        <x:v>0</x:v>
      </x:c>
      <x:c r="D6" s="22" t="n">
        <x:f>COUNTIFS(Roadmap!$B$5:$B$31,"JNCIP-SEC",Roadmap!$J$5:$J$31,"In Progress")</x:f>
        <x:v>0</x:v>
      </x:c>
      <x:c r="E6" s="22" t="n">
        <x:f>COUNTIFS(Roadmap!$B$5:$B$31,"JNCIP-SEC",Roadmap!$J$5:$J$31,"Lab Ready")</x:f>
        <x:v>0</x:v>
      </x:c>
      <x:c r="F6" s="22" t="n">
        <x:f>COUNTIFS(Roadmap!$B$5:$B$31,"JNCIP-SEC",Roadmap!$J$5:$J$31,"Blocked")</x:f>
        <x:v>0</x:v>
      </x:c>
      <x:c r="G6" s="22" t="n">
        <x:f>SUMIF(Roadmap!$B$5:$B$31,"JNCIP-SEC",Roadmap!$I$5:$I$31)</x:f>
        <x:v>86</x:v>
      </x:c>
      <x:c r="H6" s="25" t="n">
        <x:f>IF(B6=0,0,C6/B6)</x:f>
        <x:v>0</x:v>
      </x:c>
    </x:row>
    <x:row r="7">
      <x:c r="A7" s="22" t="str">
        <x:v>JNCIE-SEC (Optional)</x:v>
      </x:c>
      <x:c r="B7" s="22" t="n">
        <x:f>COUNTIF(Roadmap!$B$5:$B$31,"JNCIE-SEC")</x:f>
        <x:v>1</x:v>
      </x:c>
      <x:c r="C7" s="22" t="n">
        <x:f>COUNTIFS(Roadmap!$B$5:$B$31,"JNCIE-SEC",Roadmap!$J$5:$J$31,"Complete")</x:f>
        <x:v>0</x:v>
      </x:c>
      <x:c r="D7" s="22" t="n">
        <x:f>COUNTIFS(Roadmap!$B$5:$B$31,"JNCIE-SEC",Roadmap!$J$5:$J$31,"In Progress")</x:f>
        <x:v>0</x:v>
      </x:c>
      <x:c r="E7" s="22" t="n">
        <x:f>COUNTIFS(Roadmap!$B$5:$B$31,"JNCIE-SEC",Roadmap!$J$5:$J$31,"Lab Ready")</x:f>
        <x:v>0</x:v>
      </x:c>
      <x:c r="F7" s="22" t="n">
        <x:f>COUNTIFS(Roadmap!$B$5:$B$31,"JNCIE-SEC",Roadmap!$J$5:$J$31,"Blocked")</x:f>
        <x:v>0</x:v>
      </x:c>
      <x:c r="G7" s="22" t="n">
        <x:f>SUMIF(Roadmap!$B$5:$B$31,"JNCIE-SEC",Roadmap!$I$5:$I$31)</x:f>
        <x:v>20</x:v>
      </x:c>
      <x:c r="H7" s="25" t="n">
        <x:f>IF(B7=0,0,C7/B7)</x:f>
        <x:v>0</x:v>
      </x:c>
    </x:row>
    <x:row r="10">
      <x:c r="A10" s="29" t="str">
        <x:v>Overall Progress</x:v>
      </x:c>
      <x:c r="B10" s="29"/>
      <x:c r="C10" s="29"/>
      <x:c r="D10" s="29"/>
      <x:c r="E10" s="29" t="str">
        <x:v>Study Plan Guidance</x:v>
      </x:c>
      <x:c r="F10" s="29"/>
      <x:c r="G10" s="29"/>
      <x:c r="H10" s="29"/>
    </x:row>
    <x:row r="11">
      <x:c r="A11" t="str">
        <x:v>Total roadmap items</x:v>
      </x:c>
      <x:c r="B11" t="n">
        <x:f>COUNTA(Roadmap!$A$5:$A$31)</x:f>
        <x:v>27</x:v>
      </x:c>
      <x:c r="E11" s="33" t="str">
        <x:v>Recommended sequence: finish JNCIA-SEC foundations first, then JNCIS-SEC specialist features, then JNCIP-SEC advanced troubleshooting and design. Use vSRX as the primary platform. Use cSRX only where its lightweight containerized security behavior is useful. Topics that depend on external Juniper services (for example ATP Cloud, JIMS, Security Director, Automated Threat Mitigation integrations) should be tracked separately as theory/external-lab items.</x:v>
      </x:c>
      <x:c r="F11" s="33"/>
      <x:c r="G11" s="33"/>
      <x:c r="H11" s="33"/>
    </x:row>
    <x:row r="12">
      <x:c r="A12" t="str">
        <x:v>Completed items</x:v>
      </x:c>
      <x:c r="B12" t="n">
        <x:f>COUNTIF(Roadmap!$J$5:$J$31,"Complete")</x:f>
        <x:v>0</x:v>
      </x:c>
      <x:c r="E12" s="33"/>
      <x:c r="F12" s="33"/>
      <x:c r="G12" s="33"/>
      <x:c r="H12" s="33"/>
    </x:row>
    <x:row r="13">
      <x:c r="A13" t="str">
        <x:v>Overall % complete</x:v>
      </x:c>
      <x:c r="B13" s="25" t="n">
        <x:f>IF(B11=0,0,B12/B11)</x:f>
        <x:v>0</x:v>
      </x:c>
      <x:c r="E13" s="33"/>
      <x:c r="F13" s="33"/>
      <x:c r="G13" s="33"/>
      <x:c r="H13" s="33"/>
    </x:row>
    <x:row r="14">
      <x:c r="E14" s="33"/>
      <x:c r="F14" s="33"/>
      <x:c r="G14" s="33"/>
      <x:c r="H14" s="33"/>
    </x:row>
    <x:row r="15">
      <x:c r="E15" s="33"/>
      <x:c r="F15" s="33"/>
      <x:c r="G15" s="33"/>
      <x:c r="H15" s="33"/>
    </x:row>
  </x:sheetData>
  <x:mergeCells>
    <x:mergeCell ref="A1:H1"/>
    <x:mergeCell ref="A10:D10"/>
    <x:mergeCell ref="E10:H10"/>
    <x:mergeCell ref="E11:H15"/>
  </x:mergeCells>
  <x:conditionalFormatting sqref="H4:H7">
    <x:cfRule type="colorScale" priority="1">
      <x:colorScale>
        <x:cfvo type="min"/>
        <x:cfvo type="percentile" val="50"/>
        <x:cfvo type="max"/>
        <x:color rgb="FFF4CCCC"/>
        <x:color rgb="FFFFF2CC"/>
        <x:color rgb="FFC6EFCE"/>
      </x:colorScale>
    </x:cfRule>
  </x:conditionalFormatting>
  <x:pageMargins left="0.7" right="0.7" top="0.75" bottom="0.75" header="0.3" footer="0.3"/>
  <x:drawing xmlns:r="http://schemas.openxmlformats.org/officeDocument/2006/relationships" r:id="Rfa6d367117f342bc"/>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4" hidden="0" customWidth="1"/>
    <x:col min="4" max="4" width="28" hidden="0" customWidth="1"/>
    <x:col min="5" max="5" width="42" hidden="0" customWidth="1"/>
    <x:col min="6" max="6" width="20" hidden="0" customWidth="1"/>
    <x:col min="7" max="7" width="16" hidden="0" customWidth="1"/>
    <x:col min="8" max="8" width="18" hidden="0" customWidth="1"/>
    <x:col min="9" max="9" width="10" hidden="0" customWidth="1"/>
    <x:col min="10" max="10" width="14" hidden="0" customWidth="1"/>
    <x:col min="11" max="11" width="10" hidden="0" customWidth="1"/>
    <x:col min="12" max="12" width="48" hidden="0" customWidth="1"/>
  </x:cols>
  <x:sheetData>
    <x:row r="1">
      <x:c r="A1" s="5" t="str">
        <x:v>Junos Security Certification Roadmap — JNCIA-SEC → JNCIS-SEC → JNCIP-SEC</x:v>
      </x:c>
      <x:c r="B1" s="5"/>
      <x:c r="C1" s="5"/>
      <x:c r="D1" s="5"/>
      <x:c r="E1" s="5"/>
      <x:c r="F1" s="5"/>
      <x:c r="G1" s="5"/>
      <x:c r="H1" s="5"/>
      <x:c r="I1" s="5"/>
      <x:c r="J1" s="5"/>
      <x:c r="K1" s="5"/>
      <x:c r="L1" s="5"/>
    </x:row>
    <x:row r="2">
      <x:c r="A2" s="10" t="str">
        <x:v>Roadmap combines current official Juniper exam objectives with a practical vSRX/cSRX Containerlab study plan. Status is intended for personal tracking.</x:v>
      </x:c>
      <x:c r="B2" s="10"/>
      <x:c r="C2" s="10"/>
      <x:c r="D2" s="10"/>
      <x:c r="E2" s="10"/>
      <x:c r="F2" s="10"/>
      <x:c r="G2" s="10"/>
      <x:c r="H2" s="10"/>
      <x:c r="I2" s="10"/>
      <x:c r="J2" s="10"/>
      <x:c r="K2" s="10"/>
      <x:c r="L2" s="10"/>
    </x:row>
    <x:row r="4" ht="30" customHeight="1">
      <x:c r="A4" s="16" t="str">
        <x:v>ID</x:v>
      </x:c>
      <x:c r="B4" s="16" t="str">
        <x:v>Track / Level</x:v>
      </x:c>
      <x:c r="C4" s="16" t="str">
        <x:v>Phase</x:v>
      </x:c>
      <x:c r="D4" s="16" t="str">
        <x:v>Topic / Skill</x:v>
      </x:c>
      <x:c r="E4" s="16" t="str">
        <x:v>Subtopics / Lab Focus</x:v>
      </x:c>
      <x:c r="F4" s="16" t="str">
        <x:v>Primary Platform</x:v>
      </x:c>
      <x:c r="G4" s="16" t="str">
        <x:v>Lab ID(s)</x:v>
      </x:c>
      <x:c r="H4" s="16" t="str">
        <x:v>Type</x:v>
      </x:c>
      <x:c r="I4" s="16" t="str">
        <x:v>Est. Hours</x:v>
      </x:c>
      <x:c r="J4" s="16" t="str">
        <x:v>Status</x:v>
      </x:c>
      <x:c r="K4" s="16" t="str">
        <x:v>Priority</x:v>
      </x:c>
      <x:c r="L4" s="16" t="str">
        <x:v>Source</x:v>
      </x:c>
    </x:row>
    <x:row r="5">
      <x:c r="A5" s="22" t="str">
        <x:v>SEC-001</x:v>
      </x:c>
      <x:c r="B5" s="22" t="str">
        <x:v>JNCIA-SEC</x:v>
      </x:c>
      <x:c r="C5" s="22" t="str">
        <x:v>Foundation</x:v>
      </x:c>
      <x:c r="D5" s="10" t="str">
        <x:v>SRX platform &amp; Junos architecture</x:v>
      </x:c>
      <x:c r="E5" s="10" t="str">
        <x:v>Junos architecture; SRX traffic flow/security processing; interfaces; initial configuration; vSRX</x:v>
      </x:c>
      <x:c r="F5" s="10" t="str">
        <x:v>vSRX</x:v>
      </x:c>
      <x:c r="G5" s="10" t="str">
        <x:v>SEC-LAB-001</x:v>
      </x:c>
      <x:c r="H5" s="10" t="str">
        <x:v>Lab + Study</x:v>
      </x:c>
      <x:c r="I5" s="23" t="n">
        <x:v>6</x:v>
      </x:c>
      <x:c r="J5" s="10" t="str">
        <x:v>Not Started</x:v>
      </x:c>
      <x:c r="K5" s="10" t="str">
        <x:v>High</x:v>
      </x:c>
      <x:c r="L5" s="10" t="str">
        <x:v>https://learningportal.juniper.net/juniper/user_activity_info.aspx?id=14362</x:v>
      </x:c>
    </x:row>
    <x:row r="6">
      <x:c r="A6" s="22" t="str">
        <x:v>SEC-002</x:v>
      </x:c>
      <x:c r="B6" s="22" t="str">
        <x:v>JNCIA-SEC</x:v>
      </x:c>
      <x:c r="C6" s="22" t="str">
        <x:v>Foundation</x:v>
      </x:c>
      <x:c r="D6" s="10" t="str">
        <x:v>Security zones &amp; screens</x:v>
      </x:c>
      <x:c r="E6" s="10" t="str">
        <x:v>Security zones; functional zones; screens; host-inbound traffic; zone troubleshooting</x:v>
      </x:c>
      <x:c r="F6" s="10" t="str">
        <x:v>vSRX</x:v>
      </x:c>
      <x:c r="G6" s="10" t="str">
        <x:v>SEC-LAB-002</x:v>
      </x:c>
      <x:c r="H6" s="10" t="str">
        <x:v>Lab</x:v>
      </x:c>
      <x:c r="I6" s="23" t="n">
        <x:v>6</x:v>
      </x:c>
      <x:c r="J6" s="10" t="str">
        <x:v>Not Started</x:v>
      </x:c>
      <x:c r="K6" s="10" t="str">
        <x:v>High</x:v>
      </x:c>
      <x:c r="L6" s="10" t="str">
        <x:v>https://learningportal.juniper.net/juniper/user_activity_info.aspx?id=14362</x:v>
      </x:c>
    </x:row>
    <x:row r="7">
      <x:c r="A7" s="22" t="str">
        <x:v>SEC-003</x:v>
      </x:c>
      <x:c r="B7" s="22" t="str">
        <x:v>JNCIA-SEC</x:v>
      </x:c>
      <x:c r="C7" s="22" t="str">
        <x:v>Foundation</x:v>
      </x:c>
      <x:c r="D7" s="10" t="str">
        <x:v>Security objects</x:v>
      </x:c>
      <x:c r="E7" s="10" t="str">
        <x:v>Addresses/address-books; applications; ALGs; object reuse</x:v>
      </x:c>
      <x:c r="F7" s="10" t="str">
        <x:v>vSRX</x:v>
      </x:c>
      <x:c r="G7" s="10" t="str">
        <x:v>SEC-LAB-003</x:v>
      </x:c>
      <x:c r="H7" s="10" t="str">
        <x:v>Lab</x:v>
      </x:c>
      <x:c r="I7" s="23" t="n">
        <x:v>5</x:v>
      </x:c>
      <x:c r="J7" s="10" t="str">
        <x:v>Not Started</x:v>
      </x:c>
      <x:c r="K7" s="10" t="str">
        <x:v>High</x:v>
      </x:c>
      <x:c r="L7" s="10" t="str">
        <x:v>https://learningportal.juniper.net/juniper/user_activity_info.aspx?id=14362</x:v>
      </x:c>
    </x:row>
    <x:row r="8">
      <x:c r="A8" s="22" t="str">
        <x:v>SEC-004</x:v>
      </x:c>
      <x:c r="B8" s="22" t="str">
        <x:v>JNCIA-SEC</x:v>
      </x:c>
      <x:c r="C8" s="22" t="str">
        <x:v>Foundation</x:v>
      </x:c>
      <x:c r="D8" s="10" t="str">
        <x:v>Security policies</x:v>
      </x:c>
      <x:c r="E8" s="10" t="str">
        <x:v>Zone-based policies; global policies; unified policies; policy order and matching</x:v>
      </x:c>
      <x:c r="F8" s="10" t="str">
        <x:v>vSRX</x:v>
      </x:c>
      <x:c r="G8" s="10" t="str">
        <x:v>SEC-LAB-004</x:v>
      </x:c>
      <x:c r="H8" s="10" t="str">
        <x:v>Lab</x:v>
      </x:c>
      <x:c r="I8" s="23" t="n">
        <x:v>6</x:v>
      </x:c>
      <x:c r="J8" s="10" t="str">
        <x:v>Not Started</x:v>
      </x:c>
      <x:c r="K8" s="10" t="str">
        <x:v>High</x:v>
      </x:c>
      <x:c r="L8" s="10" t="str">
        <x:v>https://learningportal.juniper.net/juniper/user_activity_info.aspx?id=14362</x:v>
      </x:c>
    </x:row>
    <x:row r="9">
      <x:c r="A9" s="22" t="str">
        <x:v>SEC-005</x:v>
      </x:c>
      <x:c r="B9" s="22" t="str">
        <x:v>JNCIA-SEC</x:v>
      </x:c>
      <x:c r="C9" s="22" t="str">
        <x:v>Foundation</x:v>
      </x:c>
      <x:c r="D9" s="10" t="str">
        <x:v>NAT</x:v>
      </x:c>
      <x:c r="E9" s="10" t="str">
        <x:v>Source NAT; destination NAT; static NAT; address translation verification</x:v>
      </x:c>
      <x:c r="F9" s="10" t="str">
        <x:v>vSRX</x:v>
      </x:c>
      <x:c r="G9" s="10" t="str">
        <x:v>SEC-LAB-005</x:v>
      </x:c>
      <x:c r="H9" s="10" t="str">
        <x:v>Lab</x:v>
      </x:c>
      <x:c r="I9" s="23" t="n">
        <x:v>7</x:v>
      </x:c>
      <x:c r="J9" s="10" t="str">
        <x:v>Not Started</x:v>
      </x:c>
      <x:c r="K9" s="10" t="str">
        <x:v>High</x:v>
      </x:c>
      <x:c r="L9" s="10" t="str">
        <x:v>https://learningportal.juniper.net/juniper/user_activity_info.aspx?id=14362</x:v>
      </x:c>
    </x:row>
    <x:row r="10">
      <x:c r="A10" s="22" t="str">
        <x:v>SEC-006</x:v>
      </x:c>
      <x:c r="B10" s="22" t="str">
        <x:v>JNCIA-SEC</x:v>
      </x:c>
      <x:c r="C10" s="22" t="str">
        <x:v>Foundation</x:v>
      </x:c>
      <x:c r="D10" s="10" t="str">
        <x:v>Monitoring &amp; troubleshooting</x:v>
      </x:c>
      <x:c r="E10" s="10" t="str">
        <x:v>Policy troubleshooting; validating behavior; packet-flow monitoring; logs</x:v>
      </x:c>
      <x:c r="F10" s="10" t="str">
        <x:v>vSRX</x:v>
      </x:c>
      <x:c r="G10" s="10" t="str">
        <x:v>SEC-LAB-006</x:v>
      </x:c>
      <x:c r="H10" s="10" t="str">
        <x:v>Lab</x:v>
      </x:c>
      <x:c r="I10" s="23" t="n">
        <x:v>6</x:v>
      </x:c>
      <x:c r="J10" s="10" t="str">
        <x:v>Not Started</x:v>
      </x:c>
      <x:c r="K10" s="10" t="str">
        <x:v>High</x:v>
      </x:c>
      <x:c r="L10" s="10" t="str">
        <x:v>https://learningportal.juniper.net/juniper/user_activity_info.aspx?id=14362</x:v>
      </x:c>
    </x:row>
    <x:row r="11">
      <x:c r="A11" s="22" t="str">
        <x:v>SEC-007</x:v>
      </x:c>
      <x:c r="B11" s="22" t="str">
        <x:v>JNCIA-SEC</x:v>
      </x:c>
      <x:c r="C11" s="22" t="str">
        <x:v>Foundation</x:v>
      </x:c>
      <x:c r="D11" s="10" t="str">
        <x:v>Content security concepts</x:v>
      </x:c>
      <x:c r="E11" s="10" t="str">
        <x:v>Content filtering; web filtering; antivirus; antispam; feature boundaries</x:v>
      </x:c>
      <x:c r="F11" s="10" t="str">
        <x:v>vSRX / external</x:v>
      </x:c>
      <x:c r="G11" s="10" t="str">
        <x:v>SEC-LAB-007</x:v>
      </x:c>
      <x:c r="H11" s="10" t="str">
        <x:v>Study + Limited Lab</x:v>
      </x:c>
      <x:c r="I11" s="23" t="n">
        <x:v>5</x:v>
      </x:c>
      <x:c r="J11" s="10" t="str">
        <x:v>Not Started</x:v>
      </x:c>
      <x:c r="K11" s="10" t="str">
        <x:v>Medium</x:v>
      </x:c>
      <x:c r="L11" s="10" t="str">
        <x:v>https://learningportal.juniper.net/juniper/user_activity_info.aspx?id=14362</x:v>
      </x:c>
    </x:row>
    <x:row r="12">
      <x:c r="A12" s="22" t="str">
        <x:v>GATE-001</x:v>
      </x:c>
      <x:c r="B12" s="22" t="str">
        <x:v>JNCIA-SEC</x:v>
      </x:c>
      <x:c r="C12" s="22" t="str">
        <x:v>Exam Gate</x:v>
      </x:c>
      <x:c r="D12" s="10" t="str">
        <x:v>JNCIA-SEC readiness</x:v>
      </x:c>
      <x:c r="E12" s="10" t="str">
        <x:v>Review weak areas; Juniper practice exam; one end-to-end SRX build; troubleshooting drill</x:v>
      </x:c>
      <x:c r="F12" s="10" t="str">
        <x:v>vSRX</x:v>
      </x:c>
      <x:c r="G12" s="10" t="str">
        <x:v>SEC-GATE-001</x:v>
      </x:c>
      <x:c r="H12" s="10" t="str">
        <x:v>Exam Prep</x:v>
      </x:c>
      <x:c r="I12" s="23" t="n">
        <x:v>6</x:v>
      </x:c>
      <x:c r="J12" s="10" t="str">
        <x:v>Not Started</x:v>
      </x:c>
      <x:c r="K12" s="10" t="str">
        <x:v>High</x:v>
      </x:c>
      <x:c r="L12" s="10" t="str">
        <x:v>https://learningportal.juniper.net/juniper/user_activity_info.aspx?id=EXAM-JNCIA-SEC</x:v>
      </x:c>
    </x:row>
    <x:row r="13">
      <x:c r="A13" s="22" t="str">
        <x:v>SEC-101</x:v>
      </x:c>
      <x:c r="B13" s="22" t="str">
        <x:v>JNCIS-SEC</x:v>
      </x:c>
      <x:c r="C13" s="22" t="str">
        <x:v>Intermediate</x:v>
      </x:c>
      <x:c r="D13" s="10" t="str">
        <x:v>IDP</x:v>
      </x:c>
      <x:c r="E13" s="10" t="str">
        <x:v>IDP database; policies; monitoring; troubleshooting</x:v>
      </x:c>
      <x:c r="F13" s="10" t="str">
        <x:v>vSRX</x:v>
      </x:c>
      <x:c r="G13" s="10" t="str">
        <x:v>SEC-LAB-101</x:v>
      </x:c>
      <x:c r="H13" s="10" t="str">
        <x:v>Lab + Study</x:v>
      </x:c>
      <x:c r="I13" s="23" t="n">
        <x:v>8</x:v>
      </x:c>
      <x:c r="J13" s="10" t="str">
        <x:v>Not Started</x:v>
      </x:c>
      <x:c r="K13" s="10" t="str">
        <x:v>High</x:v>
      </x:c>
      <x:c r="L13" s="10" t="str">
        <x:v>https://learningportal.juniper.net/juniper/user_activity_info.aspx?id=14363</x:v>
      </x:c>
    </x:row>
    <x:row r="14">
      <x:c r="A14" s="22" t="str">
        <x:v>SEC-102</x:v>
      </x:c>
      <x:c r="B14" s="22" t="str">
        <x:v>JNCIS-SEC</x:v>
      </x:c>
      <x:c r="C14" s="22" t="str">
        <x:v>Intermediate</x:v>
      </x:c>
      <x:c r="D14" s="10" t="str">
        <x:v>IPsec VPN</x:v>
      </x:c>
      <x:c r="E14" s="10" t="str">
        <x:v>Tunnel establishment; traffic processing; site-to-site VPN; verification/troubleshooting</x:v>
      </x:c>
      <x:c r="F14" s="10" t="str">
        <x:v>vSRX</x:v>
      </x:c>
      <x:c r="G14" s="10" t="str">
        <x:v>SEC-LAB-102</x:v>
      </x:c>
      <x:c r="H14" s="10" t="str">
        <x:v>Lab</x:v>
      </x:c>
      <x:c r="I14" s="23" t="n">
        <x:v>10</x:v>
      </x:c>
      <x:c r="J14" s="10" t="str">
        <x:v>Not Started</x:v>
      </x:c>
      <x:c r="K14" s="10" t="str">
        <x:v>High</x:v>
      </x:c>
      <x:c r="L14" s="10" t="str">
        <x:v>https://learningportal.juniper.net/juniper/user_activity_info.aspx?id=14363</x:v>
      </x:c>
    </x:row>
    <x:row r="15">
      <x:c r="A15" s="22" t="str">
        <x:v>SEC-103</x:v>
      </x:c>
      <x:c r="B15" s="22" t="str">
        <x:v>JNCIS-SEC</x:v>
      </x:c>
      <x:c r="C15" s="22" t="str">
        <x:v>Intermediate</x:v>
      </x:c>
      <x:c r="D15" s="10" t="str">
        <x:v>Juniper Secure Connect</x:v>
      </x:c>
      <x:c r="E15" s="10" t="str">
        <x:v>Concepts, deployment model, traffic flow; recognize platform/service dependencies</x:v>
      </x:c>
      <x:c r="F15" s="10" t="str">
        <x:v>vSRX / external</x:v>
      </x:c>
      <x:c r="G15" s="10" t="str">
        <x:v>SEC-LAB-103</x:v>
      </x:c>
      <x:c r="H15" s="10" t="str">
        <x:v>Study + Limited Lab</x:v>
      </x:c>
      <x:c r="I15" s="23" t="n">
        <x:v>4</x:v>
      </x:c>
      <x:c r="J15" s="10" t="str">
        <x:v>Not Started</x:v>
      </x:c>
      <x:c r="K15" s="10" t="str">
        <x:v>Medium</x:v>
      </x:c>
      <x:c r="L15" s="10" t="str">
        <x:v>https://learningportal.juniper.net/juniper/user_activity_info.aspx?id=14363</x:v>
      </x:c>
    </x:row>
    <x:row r="16">
      <x:c r="A16" s="22" t="str">
        <x:v>SEC-104</x:v>
      </x:c>
      <x:c r="B16" s="22" t="str">
        <x:v>JNCIS-SEC</x:v>
      </x:c>
      <x:c r="C16" s="22" t="str">
        <x:v>Intermediate</x:v>
      </x:c>
      <x:c r="D16" s="10" t="str">
        <x:v>HA clustering</x:v>
      </x:c>
      <x:c r="E16" s="10" t="str">
        <x:v>Chassis cluster; deployment requirements; RGs; real-time objects; state synchronization</x:v>
      </x:c>
      <x:c r="F16" s="10" t="str">
        <x:v>vSRX</x:v>
      </x:c>
      <x:c r="G16" s="10" t="str">
        <x:v>SEC-LAB-104</x:v>
      </x:c>
      <x:c r="H16" s="10" t="str">
        <x:v>Lab</x:v>
      </x:c>
      <x:c r="I16" s="23" t="n">
        <x:v>10</x:v>
      </x:c>
      <x:c r="J16" s="10" t="str">
        <x:v>Not Started</x:v>
      </x:c>
      <x:c r="K16" s="10" t="str">
        <x:v>High</x:v>
      </x:c>
      <x:c r="L16" s="10" t="str">
        <x:v>https://learningportal.juniper.net/juniper/user_activity_info.aspx?id=14363</x:v>
      </x:c>
    </x:row>
    <x:row r="17">
      <x:c r="A17" s="22" t="str">
        <x:v>SEC-105</x:v>
      </x:c>
      <x:c r="B17" s="22" t="str">
        <x:v>JNCIS-SEC</x:v>
      </x:c>
      <x:c r="C17" s="22" t="str">
        <x:v>Intermediate</x:v>
      </x:c>
      <x:c r="D17" s="10" t="str">
        <x:v>ATP Cloud</x:v>
      </x:c>
      <x:c r="E17" s="10" t="str">
        <x:v>Supported files; components; feeds; remediation; ETI; DNS/IoT security; adaptive threat profiling</x:v>
      </x:c>
      <x:c r="F17" s="10" t="str">
        <x:v>vSRX / external</x:v>
      </x:c>
      <x:c r="G17" s="10" t="str">
        <x:v>SEC-LAB-105</x:v>
      </x:c>
      <x:c r="H17" s="10" t="str">
        <x:v>Study + Limited Lab</x:v>
      </x:c>
      <x:c r="I17" s="23" t="n">
        <x:v>5</x:v>
      </x:c>
      <x:c r="J17" s="10" t="str">
        <x:v>Not Started</x:v>
      </x:c>
      <x:c r="K17" s="10" t="str">
        <x:v>Medium</x:v>
      </x:c>
      <x:c r="L17" s="10" t="str">
        <x:v>https://learningportal.juniper.net/juniper/user_activity_info.aspx?id=14363</x:v>
      </x:c>
    </x:row>
    <x:row r="18">
      <x:c r="A18" s="22" t="str">
        <x:v>SEC-106</x:v>
      </x:c>
      <x:c r="B18" s="22" t="str">
        <x:v>JNCIS-SEC</x:v>
      </x:c>
      <x:c r="C18" s="22" t="str">
        <x:v>Intermediate</x:v>
      </x:c>
      <x:c r="D18" s="10" t="str">
        <x:v>Identity-aware security policies</x:v>
      </x:c>
      <x:c r="E18" s="10" t="str">
        <x:v>JIMS; ports/protocols; data flow; policy behavior</x:v>
      </x:c>
      <x:c r="F18" s="10" t="str">
        <x:v>vSRX / external</x:v>
      </x:c>
      <x:c r="G18" s="10" t="str">
        <x:v>SEC-LAB-106</x:v>
      </x:c>
      <x:c r="H18" s="10" t="str">
        <x:v>Study + Limited Lab</x:v>
      </x:c>
      <x:c r="I18" s="23" t="n">
        <x:v>5</x:v>
      </x:c>
      <x:c r="J18" s="10" t="str">
        <x:v>Not Started</x:v>
      </x:c>
      <x:c r="K18" s="10" t="str">
        <x:v>Medium</x:v>
      </x:c>
      <x:c r="L18" s="10" t="str">
        <x:v>https://learningportal.juniper.net/juniper/user_activity_info.aspx?id=14363</x:v>
      </x:c>
    </x:row>
    <x:row r="19">
      <x:c r="A19" s="22" t="str">
        <x:v>SEC-107</x:v>
      </x:c>
      <x:c r="B19" s="22" t="str">
        <x:v>JNCIS-SEC</x:v>
      </x:c>
      <x:c r="C19" s="22" t="str">
        <x:v>Intermediate</x:v>
      </x:c>
      <x:c r="D19" s="10" t="str">
        <x:v>SSL proxy</x:v>
      </x:c>
      <x:c r="E19" s="10" t="str">
        <x:v>Certificates; client/server protection; proxy flow; troubleshooting</x:v>
      </x:c>
      <x:c r="F19" s="10" t="str">
        <x:v>vSRX</x:v>
      </x:c>
      <x:c r="G19" s="10" t="str">
        <x:v>SEC-LAB-107</x:v>
      </x:c>
      <x:c r="H19" s="10" t="str">
        <x:v>Lab + Study</x:v>
      </x:c>
      <x:c r="I19" s="23" t="n">
        <x:v>7</x:v>
      </x:c>
      <x:c r="J19" s="10" t="str">
        <x:v>Not Started</x:v>
      </x:c>
      <x:c r="K19" s="10" t="str">
        <x:v>High</x:v>
      </x:c>
      <x:c r="L19" s="10" t="str">
        <x:v>https://learningportal.juniper.net/juniper/user_activity_info.aspx?id=14363</x:v>
      </x:c>
    </x:row>
    <x:row r="20">
      <x:c r="A20" s="22" t="str">
        <x:v>SEC-108</x:v>
      </x:c>
      <x:c r="B20" s="22" t="str">
        <x:v>JNCIS-SEC</x:v>
      </x:c>
      <x:c r="C20" s="22" t="str">
        <x:v>Intermediate</x:v>
      </x:c>
      <x:c r="D20" s="10" t="str">
        <x:v>Security Director</x:v>
      </x:c>
      <x:c r="E20" s="10" t="str">
        <x:v>Deployment options; device onboarding; policy management workflow</x:v>
      </x:c>
      <x:c r="F20" s="10" t="str">
        <x:v>External</x:v>
      </x:c>
      <x:c r="G20" s="10" t="str">
        <x:v>SEC-LAB-108</x:v>
      </x:c>
      <x:c r="H20" s="10" t="str">
        <x:v>Study</x:v>
      </x:c>
      <x:c r="I20" s="23" t="n">
        <x:v>4</x:v>
      </x:c>
      <x:c r="J20" s="10" t="str">
        <x:v>Not Started</x:v>
      </x:c>
      <x:c r="K20" s="10" t="str">
        <x:v>Medium</x:v>
      </x:c>
      <x:c r="L20" s="10" t="str">
        <x:v>https://learningportal.juniper.net/juniper/user_activity_info.aspx?id=14363</x:v>
      </x:c>
    </x:row>
    <x:row r="21">
      <x:c r="A21" s="22" t="str">
        <x:v>GATE-002</x:v>
      </x:c>
      <x:c r="B21" s="22" t="str">
        <x:v>JNCIS-SEC</x:v>
      </x:c>
      <x:c r="C21" s="22" t="str">
        <x:v>Exam Gate</x:v>
      </x:c>
      <x:c r="D21" s="10" t="str">
        <x:v>JNCIS-SEC readiness</x:v>
      </x:c>
      <x:c r="E21" s="10" t="str">
        <x:v>Practice exam; mixed troubleshooting; 2-site IPsec + HA; revise all external-service topics</x:v>
      </x:c>
      <x:c r="F21" s="10" t="str">
        <x:v>vSRX</x:v>
      </x:c>
      <x:c r="G21" s="10" t="str">
        <x:v>SEC-GATE-002</x:v>
      </x:c>
      <x:c r="H21" s="10" t="str">
        <x:v>Exam Prep</x:v>
      </x:c>
      <x:c r="I21" s="23" t="n">
        <x:v>8</x:v>
      </x:c>
      <x:c r="J21" s="10" t="str">
        <x:v>Not Started</x:v>
      </x:c>
      <x:c r="K21" s="10" t="str">
        <x:v>High</x:v>
      </x:c>
      <x:c r="L21" s="10" t="str">
        <x:v>https://learningportal.juniper.net/juniper/user_activity_info.aspx?id=EXAM-JNCIS-SEC</x:v>
      </x:c>
    </x:row>
    <x:row r="22">
      <x:c r="A22" s="22" t="str">
        <x:v>SEC-201</x:v>
      </x:c>
      <x:c r="B22" s="22" t="str">
        <x:v>JNCIP-SEC</x:v>
      </x:c>
      <x:c r="C22" s="22" t="str">
        <x:v>Advanced</x:v>
      </x:c>
      <x:c r="D22" s="10" t="str">
        <x:v>Security policy / zone troubleshooting</x:v>
      </x:c>
      <x:c r="E22" s="10" t="str">
        <x:v>Tools; logging/tracing; show commands; systematic fault isolation</x:v>
      </x:c>
      <x:c r="F22" s="10" t="str">
        <x:v>vSRX</x:v>
      </x:c>
      <x:c r="G22" s="10" t="str">
        <x:v>SEC-LAB-201</x:v>
      </x:c>
      <x:c r="H22" s="10" t="str">
        <x:v>Lab</x:v>
      </x:c>
      <x:c r="I22" s="23" t="n">
        <x:v>8</x:v>
      </x:c>
      <x:c r="J22" s="10" t="str">
        <x:v>Not Started</x:v>
      </x:c>
      <x:c r="K22" s="10" t="str">
        <x:v>High</x:v>
      </x:c>
      <x:c r="L22" s="10" t="str">
        <x:v>https://learningportal.juniper.net/juniper/user_activity_info.aspx?id=14364</x:v>
      </x:c>
    </x:row>
    <x:row r="23">
      <x:c r="A23" s="22" t="str">
        <x:v>SEC-202</x:v>
      </x:c>
      <x:c r="B23" s="22" t="str">
        <x:v>JNCIP-SEC</x:v>
      </x:c>
      <x:c r="C23" s="22" t="str">
        <x:v>Advanced</x:v>
      </x:c>
      <x:c r="D23" s="10" t="str">
        <x:v>Logical systems &amp; tenant systems</x:v>
      </x:c>
      <x:c r="E23" s="10" t="str">
        <x:v>Administrative roles; security profiles; logical-system communication; tenant capacity</x:v>
      </x:c>
      <x:c r="F23" s="10" t="str">
        <x:v>vSRX</x:v>
      </x:c>
      <x:c r="G23" s="10" t="str">
        <x:v>SEC-LAB-202</x:v>
      </x:c>
      <x:c r="H23" s="10" t="str">
        <x:v>Lab + Study</x:v>
      </x:c>
      <x:c r="I23" s="23" t="n">
        <x:v>9</x:v>
      </x:c>
      <x:c r="J23" s="10" t="str">
        <x:v>Not Started</x:v>
      </x:c>
      <x:c r="K23" s="10" t="str">
        <x:v>High</x:v>
      </x:c>
      <x:c r="L23" s="10" t="str">
        <x:v>https://learningportal.juniper.net/juniper/user_activity_info.aspx?id=14364</x:v>
      </x:c>
    </x:row>
    <x:row r="24">
      <x:c r="A24" s="22" t="str">
        <x:v>SEC-203</x:v>
      </x:c>
      <x:c r="B24" s="22" t="str">
        <x:v>JNCIP-SEC</x:v>
      </x:c>
      <x:c r="C24" s="22" t="str">
        <x:v>Advanced</x:v>
      </x:c>
      <x:c r="D24" s="10" t="str">
        <x:v>Layer 2 security</x:v>
      </x:c>
      <x:c r="E24" s="10" t="str">
        <x:v>Transparent mode; mixed mode; secure wire; MACsec; EVPN-VXLAN security</x:v>
      </x:c>
      <x:c r="F24" s="10" t="str">
        <x:v>vSRX / vJunos-switch</x:v>
      </x:c>
      <x:c r="G24" s="10" t="str">
        <x:v>SEC-LAB-203</x:v>
      </x:c>
      <x:c r="H24" s="10" t="str">
        <x:v>Lab</x:v>
      </x:c>
      <x:c r="I24" s="23" t="n">
        <x:v>12</x:v>
      </x:c>
      <x:c r="J24" s="10" t="str">
        <x:v>Not Started</x:v>
      </x:c>
      <x:c r="K24" s="10" t="str">
        <x:v>High</x:v>
      </x:c>
      <x:c r="L24" s="10" t="str">
        <x:v>https://learningportal.juniper.net/juniper/user_activity_info.aspx?id=14364</x:v>
      </x:c>
    </x:row>
    <x:row r="25">
      <x:c r="A25" s="22" t="str">
        <x:v>SEC-204</x:v>
      </x:c>
      <x:c r="B25" s="22" t="str">
        <x:v>JNCIP-SEC</x:v>
      </x:c>
      <x:c r="C25" s="22" t="str">
        <x:v>Advanced</x:v>
      </x:c>
      <x:c r="D25" s="10" t="str">
        <x:v>Advanced NAT</x:v>
      </x:c>
      <x:c r="E25" s="10" t="str">
        <x:v>Persistent NAT; DNS doctoring; IPv6 NAT; troubleshoot and monitor</x:v>
      </x:c>
      <x:c r="F25" s="10" t="str">
        <x:v>vSRX</x:v>
      </x:c>
      <x:c r="G25" s="10" t="str">
        <x:v>SEC-LAB-204</x:v>
      </x:c>
      <x:c r="H25" s="10" t="str">
        <x:v>Lab</x:v>
      </x:c>
      <x:c r="I25" s="23" t="n">
        <x:v>8</x:v>
      </x:c>
      <x:c r="J25" s="10" t="str">
        <x:v>Not Started</x:v>
      </x:c>
      <x:c r="K25" s="10" t="str">
        <x:v>High</x:v>
      </x:c>
      <x:c r="L25" s="10" t="str">
        <x:v>https://learningportal.juniper.net/juniper/user_activity_info.aspx?id=14364</x:v>
      </x:c>
    </x:row>
    <x:row r="26">
      <x:c r="A26" s="22" t="str">
        <x:v>SEC-205</x:v>
      </x:c>
      <x:c r="B26" s="22" t="str">
        <x:v>JNCIP-SEC</x:v>
      </x:c>
      <x:c r="C26" s="22" t="str">
        <x:v>Advanced</x:v>
      </x:c>
      <x:c r="D26" s="10" t="str">
        <x:v>Advanced IPsec</x:v>
      </x:c>
      <x:c r="E26" s="10" t="str">
        <x:v>Hub-and-spoke; PKI; ADVPN; routing with IPsec; overlapping IP; dynamic gateways; CoS</x:v>
      </x:c>
      <x:c r="F26" s="10" t="str">
        <x:v>vSRX</x:v>
      </x:c>
      <x:c r="G26" s="10" t="str">
        <x:v>SEC-LAB-205</x:v>
      </x:c>
      <x:c r="H26" s="10" t="str">
        <x:v>Lab</x:v>
      </x:c>
      <x:c r="I26" s="23" t="n">
        <x:v>14</x:v>
      </x:c>
      <x:c r="J26" s="10" t="str">
        <x:v>Not Started</x:v>
      </x:c>
      <x:c r="K26" s="10" t="str">
        <x:v>High</x:v>
      </x:c>
      <x:c r="L26" s="10" t="str">
        <x:v>https://learningportal.juniper.net/juniper/user_activity_info.aspx?id=14364</x:v>
      </x:c>
    </x:row>
    <x:row r="27">
      <x:c r="A27" s="22" t="str">
        <x:v>SEC-206</x:v>
      </x:c>
      <x:c r="B27" s="22" t="str">
        <x:v>JNCIP-SEC</x:v>
      </x:c>
      <x:c r="C27" s="22" t="str">
        <x:v>Advanced</x:v>
      </x:c>
      <x:c r="D27" s="10" t="str">
        <x:v>Advanced PBR (APBR)</x:v>
      </x:c>
      <x:c r="E27" s="10" t="str">
        <x:v>Profiles; policies; routing instances; APBR options; verification</x:v>
      </x:c>
      <x:c r="F27" s="10" t="str">
        <x:v>vSRX</x:v>
      </x:c>
      <x:c r="G27" s="10" t="str">
        <x:v>SEC-LAB-206</x:v>
      </x:c>
      <x:c r="H27" s="10" t="str">
        <x:v>Lab</x:v>
      </x:c>
      <x:c r="I27" s="23" t="n">
        <x:v>8</x:v>
      </x:c>
      <x:c r="J27" s="10" t="str">
        <x:v>Not Started</x:v>
      </x:c>
      <x:c r="K27" s="10" t="str">
        <x:v>High</x:v>
      </x:c>
      <x:c r="L27" s="10" t="str">
        <x:v>https://learningportal.juniper.net/juniper/user_activity_info.aspx?id=14364</x:v>
      </x:c>
    </x:row>
    <x:row r="28">
      <x:c r="A28" s="22" t="str">
        <x:v>SEC-207</x:v>
      </x:c>
      <x:c r="B28" s="22" t="str">
        <x:v>JNCIP-SEC</x:v>
      </x:c>
      <x:c r="C28" s="22" t="str">
        <x:v>Advanced</x:v>
      </x:c>
      <x:c r="D28" s="10" t="str">
        <x:v>Multinode HA</x:v>
      </x:c>
      <x:c r="E28" s="10" t="str">
        <x:v>Chassis cluster vs multinode HA; deployment modes; SRG; interchassis link; active/active; active/passive</x:v>
      </x:c>
      <x:c r="F28" s="10" t="str">
        <x:v>vSRX</x:v>
      </x:c>
      <x:c r="G28" s="10" t="str">
        <x:v>SEC-LAB-207</x:v>
      </x:c>
      <x:c r="H28" s="10" t="str">
        <x:v>Lab</x:v>
      </x:c>
      <x:c r="I28" s="23" t="n">
        <x:v>12</x:v>
      </x:c>
      <x:c r="J28" s="10" t="str">
        <x:v>Not Started</x:v>
      </x:c>
      <x:c r="K28" s="10" t="str">
        <x:v>High</x:v>
      </x:c>
      <x:c r="L28" s="10" t="str">
        <x:v>https://learningportal.juniper.net/juniper/user_activity_info.aspx?id=14364</x:v>
      </x:c>
    </x:row>
    <x:row r="29">
      <x:c r="A29" s="22" t="str">
        <x:v>SEC-208</x:v>
      </x:c>
      <x:c r="B29" s="22" t="str">
        <x:v>JNCIP-SEC</x:v>
      </x:c>
      <x:c r="C29" s="22" t="str">
        <x:v>Advanced</x:v>
      </x:c>
      <x:c r="D29" s="10" t="str">
        <x:v>Automated Threat Mitigation</x:v>
      </x:c>
      <x:c r="E29" s="10" t="str">
        <x:v>Third-party/multicloud integration; Secure Enterprise concepts</x:v>
      </x:c>
      <x:c r="F29" s="10" t="str">
        <x:v>External / vSRX</x:v>
      </x:c>
      <x:c r="G29" s="10" t="str">
        <x:v>SEC-LAB-208</x:v>
      </x:c>
      <x:c r="H29" s="10" t="str">
        <x:v>Study + Limited Lab</x:v>
      </x:c>
      <x:c r="I29" s="23" t="n">
        <x:v>5</x:v>
      </x:c>
      <x:c r="J29" s="10" t="str">
        <x:v>Not Started</x:v>
      </x:c>
      <x:c r="K29" s="10" t="str">
        <x:v>Medium</x:v>
      </x:c>
      <x:c r="L29" s="10" t="str">
        <x:v>https://learningportal.juniper.net/juniper/user_activity_info.aspx?id=14364</x:v>
      </x:c>
    </x:row>
    <x:row r="30">
      <x:c r="A30" s="22" t="str">
        <x:v>GATE-003</x:v>
      </x:c>
      <x:c r="B30" s="22" t="str">
        <x:v>JNCIP-SEC</x:v>
      </x:c>
      <x:c r="C30" s="22" t="str">
        <x:v>Exam Gate</x:v>
      </x:c>
      <x:c r="D30" s="10" t="str">
        <x:v>JNCIP-SEC readiness</x:v>
      </x:c>
      <x:c r="E30" s="10" t="str">
        <x:v>Practice exam; advanced IPsec/NAT/APBR; L2 security; HA troubleshooting; timed review</x:v>
      </x:c>
      <x:c r="F30" s="10" t="str">
        <x:v>vSRX</x:v>
      </x:c>
      <x:c r="G30" s="10" t="str">
        <x:v>SEC-GATE-003</x:v>
      </x:c>
      <x:c r="H30" s="10" t="str">
        <x:v>Exam Prep</x:v>
      </x:c>
      <x:c r="I30" s="23" t="n">
        <x:v>10</x:v>
      </x:c>
      <x:c r="J30" s="10" t="str">
        <x:v>Not Started</x:v>
      </x:c>
      <x:c r="K30" s="10" t="str">
        <x:v>High</x:v>
      </x:c>
      <x:c r="L30" s="10" t="str">
        <x:v>https://learningportal.juniper.net/juniper/user_activity_info.aspx?id=14364</x:v>
      </x:c>
    </x:row>
    <x:row r="31">
      <x:c r="A31" s="22" t="str">
        <x:v>OPT-301</x:v>
      </x:c>
      <x:c r="B31" s="22" t="str">
        <x:v>JNCIE-SEC</x:v>
      </x:c>
      <x:c r="C31" s="22" t="str">
        <x:v>Optional Next</x:v>
      </x:c>
      <x:c r="D31" s="10" t="str">
        <x:v>Practical exam foundation</x:v>
      </x:c>
      <x:c r="E31" s="10" t="str">
        <x:v>Multi-site SRX design; secure management; advanced policies; attack prevention; HA; IPS</x:v>
      </x:c>
      <x:c r="F31" s="10" t="str">
        <x:v>vSRX</x:v>
      </x:c>
      <x:c r="G31" s="10" t="str">
        <x:v>SEC-LAB-301+</x:v>
      </x:c>
      <x:c r="H31" s="10" t="str">
        <x:v>Practical Lab</x:v>
      </x:c>
      <x:c r="I31" s="23" t="n">
        <x:v>20</x:v>
      </x:c>
      <x:c r="J31" s="10" t="str">
        <x:v>Not Started</x:v>
      </x:c>
      <x:c r="K31" s="10" t="str">
        <x:v>Medium</x:v>
      </x:c>
      <x:c r="L31" s="10" t="str">
        <x:v>https://learningportal.juniper.net/juniper/user_activity_info.aspx?id=14365</x:v>
      </x:c>
    </x:row>
  </x:sheetData>
  <x:mergeCells>
    <x:mergeCell ref="A1:L1"/>
    <x:mergeCell ref="A2:L2"/>
  </x:mergeCells>
  <x:conditionalFormatting sqref="J5:J31">
    <x:cfRule type="expression" dxfId="0" priority="1">
      <x:formula>J5="Complete"</x:formula>
    </x:cfRule>
    <x:cfRule type="expression" dxfId="1" priority="2">
      <x:formula>J5="In Progress"</x:formula>
    </x:cfRule>
    <x:cfRule type="expression" dxfId="2" priority="3">
      <x:formula>J5="Blocked"</x:formula>
    </x:cfRule>
  </x:conditionalFormatting>
  <x:dataValidations count="2">
    <x:dataValidation type="list" sqref="J5:J31">
      <x:formula1>"Not Started,In Progress,Lab Ready,Complete,Blocked"</x:formula1>
    </x:dataValidation>
    <x:dataValidation type="list" sqref="K5:K31">
      <x:formula1>"High,Medium,Low"</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2" hidden="0" customWidth="1"/>
    <x:col min="3" max="3" width="34" hidden="0" customWidth="1"/>
    <x:col min="4" max="4" width="32" hidden="0" customWidth="1"/>
    <x:col min="5" max="5" width="20" hidden="0" customWidth="1"/>
    <x:col min="6" max="6" width="22" hidden="0" customWidth="1"/>
    <x:col min="7" max="7" width="12" hidden="0" customWidth="1"/>
    <x:col min="8" max="8" width="28" hidden="0" customWidth="1"/>
    <x:col min="9" max="9" width="14" hidden="0" customWidth="1"/>
    <x:col min="10" max="10" width="34" hidden="0" customWidth="1"/>
  </x:cols>
  <x:sheetData>
    <x:row r="1">
      <x:c r="A1" s="5" t="str">
        <x:v>Security Track Lab Catalog — Proposed Containerlab Exercises</x:v>
      </x:c>
      <x:c r="B1" s="5"/>
      <x:c r="C1" s="5"/>
      <x:c r="D1" s="5"/>
      <x:c r="E1" s="5"/>
      <x:c r="F1" s="5"/>
      <x:c r="G1" s="5"/>
      <x:c r="H1" s="5"/>
      <x:c r="I1" s="5"/>
      <x:c r="J1" s="5"/>
    </x:row>
    <x:row r="2">
      <x:c r="A2" s="10" t="str">
        <x:v>These are our study labs to build progressively. Platform notes reflect what is practical to emulate locally; external-service topics are intentionally marked limited.</x:v>
      </x:c>
      <x:c r="B2" s="10"/>
      <x:c r="C2" s="10"/>
      <x:c r="D2" s="10"/>
      <x:c r="E2" s="10"/>
      <x:c r="F2" s="10"/>
      <x:c r="G2" s="10"/>
      <x:c r="H2" s="10"/>
      <x:c r="I2" s="10"/>
      <x:c r="J2" s="10"/>
    </x:row>
    <x:row r="4">
      <x:c r="A4" s="16" t="str">
        <x:v>Lab ID</x:v>
      </x:c>
      <x:c r="B4" s="16" t="str">
        <x:v>Stage</x:v>
      </x:c>
      <x:c r="C4" s="16" t="str">
        <x:v>Objective</x:v>
      </x:c>
      <x:c r="D4" s="16" t="str">
        <x:v>Topology</x:v>
      </x:c>
      <x:c r="E4" s="16" t="str">
        <x:v>Primary Image</x:v>
      </x:c>
      <x:c r="F4" s="16" t="str">
        <x:v>Supporting Image</x:v>
      </x:c>
      <x:c r="G4" s="16" t="str">
        <x:v>Difficulty</x:v>
      </x:c>
      <x:c r="H4" s="16" t="str">
        <x:v>Dependencies</x:v>
      </x:c>
      <x:c r="I4" s="16" t="str">
        <x:v>Status</x:v>
      </x:c>
      <x:c r="J4" s="16" t="str">
        <x:v>Notes</x:v>
      </x:c>
    </x:row>
    <x:row r="5">
      <x:c r="A5" t="str">
        <x:v>SEC-LAB-001</x:v>
      </x:c>
      <x:c r="B5" t="str">
        <x:v>JNCIA</x:v>
      </x:c>
      <x:c r="C5" t="str">
        <x:v>Base vSRX management + interface setup</x:v>
      </x:c>
      <x:c r="D5" t="str">
        <x:v>client — vSRX — server</x:v>
      </x:c>
      <x:c r="E5" t="str">
        <x:v>juniper_vsrx</x:v>
      </x:c>
      <x:c r="F5" t="str">
        <x:v>network-multitool</x:v>
      </x:c>
      <x:c r="G5" t="str">
        <x:v>Easy</x:v>
      </x:c>
      <x:c r="H5" s="10" t="str">
        <x:v>vSRX image</x:v>
      </x:c>
      <x:c r="I5" s="10" t="str">
        <x:v>Not Started</x:v>
      </x:c>
      <x:c r="J5" s="10" t="str">
        <x:v>Establish repeatable baseline</x:v>
      </x:c>
    </x:row>
    <x:row r="6">
      <x:c r="A6" t="str">
        <x:v>SEC-LAB-002</x:v>
      </x:c>
      <x:c r="B6" t="str">
        <x:v>JNCIA</x:v>
      </x:c>
      <x:c r="C6" t="str">
        <x:v>Zones, host-inbound traffic, screens</x:v>
      </x:c>
      <x:c r="D6" t="str">
        <x:v>client — vSRX — server</x:v>
      </x:c>
      <x:c r="E6" t="str">
        <x:v>juniper_vsrx</x:v>
      </x:c>
      <x:c r="F6" t="str">
        <x:v>network-multitool</x:v>
      </x:c>
      <x:c r="G6" t="str">
        <x:v>Easy</x:v>
      </x:c>
      <x:c r="H6" s="10" t="str">
        <x:v>SEC-LAB-001</x:v>
      </x:c>
      <x:c r="I6" s="10" t="str">
        <x:v>Not Started</x:v>
      </x:c>
      <x:c r="J6" s="10" t="str"/>
    </x:row>
    <x:row r="7">
      <x:c r="A7" t="str">
        <x:v>SEC-LAB-003</x:v>
      </x:c>
      <x:c r="B7" t="str">
        <x:v>JNCIA</x:v>
      </x:c>
      <x:c r="C7" t="str">
        <x:v>Address/application objects</x:v>
      </x:c>
      <x:c r="D7" t="str">
        <x:v>client — vSRX — server</x:v>
      </x:c>
      <x:c r="E7" t="str">
        <x:v>juniper_vsrx</x:v>
      </x:c>
      <x:c r="F7" t="str">
        <x:v>network-multitool</x:v>
      </x:c>
      <x:c r="G7" t="str">
        <x:v>Easy</x:v>
      </x:c>
      <x:c r="H7" s="10" t="str">
        <x:v>SEC-LAB-002</x:v>
      </x:c>
      <x:c r="I7" s="10" t="str">
        <x:v>Not Started</x:v>
      </x:c>
      <x:c r="J7" s="10" t="str"/>
    </x:row>
    <x:row r="8">
      <x:c r="A8" t="str">
        <x:v>SEC-LAB-004</x:v>
      </x:c>
      <x:c r="B8" t="str">
        <x:v>JNCIA</x:v>
      </x:c>
      <x:c r="C8" t="str">
        <x:v>Security policy order and match</x:v>
      </x:c>
      <x:c r="D8" t="str">
        <x:v>client-A — vSRX — client-B</x:v>
      </x:c>
      <x:c r="E8" t="str">
        <x:v>juniper_vsrx</x:v>
      </x:c>
      <x:c r="F8" t="str">
        <x:v>network-multitool</x:v>
      </x:c>
      <x:c r="G8" t="str">
        <x:v>Easy</x:v>
      </x:c>
      <x:c r="H8" s="10" t="str">
        <x:v>SEC-LAB-003</x:v>
      </x:c>
      <x:c r="I8" s="10" t="str">
        <x:v>Not Started</x:v>
      </x:c>
      <x:c r="J8" s="10" t="str">
        <x:v>Include allow/deny cases</x:v>
      </x:c>
    </x:row>
    <x:row r="9">
      <x:c r="A9" t="str">
        <x:v>SEC-LAB-005</x:v>
      </x:c>
      <x:c r="B9" t="str">
        <x:v>JNCIA</x:v>
      </x:c>
      <x:c r="C9" t="str">
        <x:v>Source/destination/static NAT</x:v>
      </x:c>
      <x:c r="D9" t="str">
        <x:v>inside — vSRX — outside</x:v>
      </x:c>
      <x:c r="E9" t="str">
        <x:v>juniper_vsrx</x:v>
      </x:c>
      <x:c r="F9" t="str">
        <x:v>network-multitool</x:v>
      </x:c>
      <x:c r="G9" t="str">
        <x:v>Medium</x:v>
      </x:c>
      <x:c r="H9" s="10" t="str">
        <x:v>SEC-LAB-004</x:v>
      </x:c>
      <x:c r="I9" s="10" t="str">
        <x:v>Not Started</x:v>
      </x:c>
      <x:c r="J9" s="10" t="str">
        <x:v>Verify translations</x:v>
      </x:c>
    </x:row>
    <x:row r="10">
      <x:c r="A10" t="str">
        <x:v>SEC-LAB-006</x:v>
      </x:c>
      <x:c r="B10" t="str">
        <x:v>JNCIA</x:v>
      </x:c>
      <x:c r="C10" t="str">
        <x:v>Packet flow + policy troubleshooting</x:v>
      </x:c>
      <x:c r="D10" t="str">
        <x:v>client — vSRX — server</x:v>
      </x:c>
      <x:c r="E10" t="str">
        <x:v>juniper_vsrx</x:v>
      </x:c>
      <x:c r="F10" t="str">
        <x:v>network-multitool</x:v>
      </x:c>
      <x:c r="G10" t="str">
        <x:v>Medium</x:v>
      </x:c>
      <x:c r="H10" s="10" t="str">
        <x:v>SEC-LAB-005</x:v>
      </x:c>
      <x:c r="I10" s="10" t="str">
        <x:v>Not Started</x:v>
      </x:c>
      <x:c r="J10" s="10" t="str">
        <x:v>Use logs/traces/show commands</x:v>
      </x:c>
    </x:row>
    <x:row r="11">
      <x:c r="A11" t="str">
        <x:v>SEC-LAB-007</x:v>
      </x:c>
      <x:c r="B11" t="str">
        <x:v>JNCIA</x:v>
      </x:c>
      <x:c r="C11" t="str">
        <x:v>Content security concepts</x:v>
      </x:c>
      <x:c r="D11" t="str">
        <x:v>client — vSRX — internet simulation</x:v>
      </x:c>
      <x:c r="E11" t="str">
        <x:v>juniper_vsrx</x:v>
      </x:c>
      <x:c r="F11" t="str">
        <x:v>network-multitool</x:v>
      </x:c>
      <x:c r="G11" t="str">
        <x:v>Medium</x:v>
      </x:c>
      <x:c r="H11" s="10" t="str">
        <x:v>Feature/licensing dependent</x:v>
      </x:c>
      <x:c r="I11" s="10" t="str">
        <x:v>Not Started</x:v>
      </x:c>
      <x:c r="J11" s="10" t="str">
        <x:v>Limited if services unavailable</x:v>
      </x:c>
    </x:row>
    <x:row r="12">
      <x:c r="A12" t="str">
        <x:v>SEC-LAB-101</x:v>
      </x:c>
      <x:c r="B12" t="str">
        <x:v>JNCIS</x:v>
      </x:c>
      <x:c r="C12" t="str">
        <x:v>IDP policy workflow</x:v>
      </x:c>
      <x:c r="D12" t="str">
        <x:v>client — vSRX — server</x:v>
      </x:c>
      <x:c r="E12" t="str">
        <x:v>juniper_vsrx</x:v>
      </x:c>
      <x:c r="F12" t="str">
        <x:v>network-multitool</x:v>
      </x:c>
      <x:c r="G12" t="str">
        <x:v>Medium</x:v>
      </x:c>
      <x:c r="H12" s="10" t="str">
        <x:v>License/content</x:v>
      </x:c>
      <x:c r="I12" s="10" t="str">
        <x:v>Not Started</x:v>
      </x:c>
      <x:c r="J12" s="10" t="str">
        <x:v>Focus CLI and policy concepts</x:v>
      </x:c>
    </x:row>
    <x:row r="13">
      <x:c r="A13" t="str">
        <x:v>SEC-LAB-102</x:v>
      </x:c>
      <x:c r="B13" t="str">
        <x:v>JNCIS</x:v>
      </x:c>
      <x:c r="C13" t="str">
        <x:v>Site-to-site IPsec</x:v>
      </x:c>
      <x:c r="D13" t="str">
        <x:v>LAN-A — SRX-A === SRX-B — LAN-B</x:v>
      </x:c>
      <x:c r="E13" t="str">
        <x:v>juniper_vsrx</x:v>
      </x:c>
      <x:c r="F13" t="str">
        <x:v>network-multitool</x:v>
      </x:c>
      <x:c r="G13" t="str">
        <x:v>Medium</x:v>
      </x:c>
      <x:c r="H13" s="10" t="str">
        <x:v>2x vSRX</x:v>
      </x:c>
      <x:c r="I13" s="10" t="str">
        <x:v>Not Started</x:v>
      </x:c>
      <x:c r="J13" s="10" t="str">
        <x:v>Phase 1/2 + traffic validation</x:v>
      </x:c>
    </x:row>
    <x:row r="14">
      <x:c r="A14" t="str">
        <x:v>SEC-LAB-104</x:v>
      </x:c>
      <x:c r="B14" t="str">
        <x:v>JNCIS</x:v>
      </x:c>
      <x:c r="C14" t="str">
        <x:v>Chassis cluster basics</x:v>
      </x:c>
      <x:c r="D14" t="str">
        <x:v>LAN-A — SRX pair — LAN-B</x:v>
      </x:c>
      <x:c r="E14" t="str">
        <x:v>juniper_vsrx</x:v>
      </x:c>
      <x:c r="F14" t="str">
        <x:v>network-multitool</x:v>
      </x:c>
      <x:c r="G14" t="str">
        <x:v>Hard</x:v>
      </x:c>
      <x:c r="H14" s="10" t="str">
        <x:v>2x vSRX; HA links</x:v>
      </x:c>
      <x:c r="I14" s="10" t="str">
        <x:v>Not Started</x:v>
      </x:c>
      <x:c r="J14" s="10" t="str">
        <x:v>RG0/RG1 and state sync</x:v>
      </x:c>
    </x:row>
    <x:row r="15">
      <x:c r="A15" t="str">
        <x:v>SEC-LAB-107</x:v>
      </x:c>
      <x:c r="B15" t="str">
        <x:v>JNCIS</x:v>
      </x:c>
      <x:c r="C15" t="str">
        <x:v>SSL proxy</x:v>
      </x:c>
      <x:c r="D15" t="str">
        <x:v>client — vSRX — server</x:v>
      </x:c>
      <x:c r="E15" t="str">
        <x:v>juniper_vsrx</x:v>
      </x:c>
      <x:c r="F15" t="str">
        <x:v>network-multitool</x:v>
      </x:c>
      <x:c r="G15" t="str">
        <x:v>Hard</x:v>
      </x:c>
      <x:c r="H15" s="10" t="str">
        <x:v>Certificates</x:v>
      </x:c>
      <x:c r="I15" s="10" t="str">
        <x:v>Not Started</x:v>
      </x:c>
      <x:c r="J15" s="10" t="str"/>
    </x:row>
    <x:row r="16">
      <x:c r="A16" t="str">
        <x:v>SEC-LAB-201</x:v>
      </x:c>
      <x:c r="B16" t="str">
        <x:v>JNCIP</x:v>
      </x:c>
      <x:c r="C16" t="str">
        <x:v>Deep troubleshooting of policies/zones</x:v>
      </x:c>
      <x:c r="D16" t="str">
        <x:v>multi-zone vSRX</x:v>
      </x:c>
      <x:c r="E16" t="str">
        <x:v>juniper_vsrx</x:v>
      </x:c>
      <x:c r="F16" t="str">
        <x:v>network-multitool</x:v>
      </x:c>
      <x:c r="G16" t="str">
        <x:v>Hard</x:v>
      </x:c>
      <x:c r="H16" s="10" t="str">
        <x:v>JNCIS core</x:v>
      </x:c>
      <x:c r="I16" s="10" t="str">
        <x:v>Not Started</x:v>
      </x:c>
      <x:c r="J16" s="10" t="str">
        <x:v>Scenario-based fault isolation</x:v>
      </x:c>
    </x:row>
    <x:row r="17">
      <x:c r="A17" t="str">
        <x:v>SEC-LAB-202</x:v>
      </x:c>
      <x:c r="B17" t="str">
        <x:v>JNCIP</x:v>
      </x:c>
      <x:c r="C17" t="str">
        <x:v>Logical systems and tenant systems</x:v>
      </x:c>
      <x:c r="D17" t="str">
        <x:v>management — vSRX with logical/tenant contexts</x:v>
      </x:c>
      <x:c r="E17" t="str">
        <x:v>juniper_vsrx</x:v>
      </x:c>
      <x:c r="F17" t="str">
        <x:v>network-multitool</x:v>
      </x:c>
      <x:c r="G17" t="str">
        <x:v>Hard</x:v>
      </x:c>
      <x:c r="H17" s="10" t="str">
        <x:v>JNCIS core</x:v>
      </x:c>
      <x:c r="I17" s="10" t="str">
        <x:v>Not Started</x:v>
      </x:c>
      <x:c r="J17" s="10" t="str"/>
    </x:row>
    <x:row r="18">
      <x:c r="A18" t="str">
        <x:v>SEC-LAB-203</x:v>
      </x:c>
      <x:c r="B18" t="str">
        <x:v>JNCIP</x:v>
      </x:c>
      <x:c r="C18" t="str">
        <x:v>L2 security modes / secure wire</x:v>
      </x:c>
      <x:c r="D18" t="str">
        <x:v>L2 hosts — SRX — L2 hosts</x:v>
      </x:c>
      <x:c r="E18" t="str">
        <x:v>juniper_vsrx</x:v>
      </x:c>
      <x:c r="F18" t="str">
        <x:v>vJunos-switch (later)</x:v>
      </x:c>
      <x:c r="G18" t="str">
        <x:v>Hard</x:v>
      </x:c>
      <x:c r="H18" s="10" t="str">
        <x:v>Platform/feature validation</x:v>
      </x:c>
      <x:c r="I18" s="10" t="str">
        <x:v>Not Started</x:v>
      </x:c>
      <x:c r="J18" s="10" t="str">
        <x:v>Add switch only if needed</x:v>
      </x:c>
    </x:row>
    <x:row r="19">
      <x:c r="A19" t="str">
        <x:v>SEC-LAB-204</x:v>
      </x:c>
      <x:c r="B19" t="str">
        <x:v>JNCIP</x:v>
      </x:c>
      <x:c r="C19" t="str">
        <x:v>Advanced NAT</x:v>
      </x:c>
      <x:c r="D19" t="str">
        <x:v>multi-segment SRX</x:v>
      </x:c>
      <x:c r="E19" t="str">
        <x:v>juniper_vsrx</x:v>
      </x:c>
      <x:c r="F19" t="str">
        <x:v>network-multitool</x:v>
      </x:c>
      <x:c r="G19" t="str">
        <x:v>Hard</x:v>
      </x:c>
      <x:c r="H19" s="10" t="str">
        <x:v>JNCIA NAT</x:v>
      </x:c>
      <x:c r="I19" s="10" t="str">
        <x:v>Not Started</x:v>
      </x:c>
      <x:c r="J19" s="10" t="str">
        <x:v>Persistent NAT, DNS doctoring, IPv6 NAT</x:v>
      </x:c>
    </x:row>
    <x:row r="20">
      <x:c r="A20" t="str">
        <x:v>SEC-LAB-205</x:v>
      </x:c>
      <x:c r="B20" t="str">
        <x:v>JNCIP</x:v>
      </x:c>
      <x:c r="C20" t="str">
        <x:v>Advanced IPsec / ADVPN / PKI</x:v>
      </x:c>
      <x:c r="D20" t="str">
        <x:v>hub-and-spoke SRX</x:v>
      </x:c>
      <x:c r="E20" t="str">
        <x:v>juniper_vsrx</x:v>
      </x:c>
      <x:c r="F20" t="str">
        <x:v>network-multitool</x:v>
      </x:c>
      <x:c r="G20" t="str">
        <x:v>Hard</x:v>
      </x:c>
      <x:c r="H20" s="10" t="str">
        <x:v>3-4x vSRX</x:v>
      </x:c>
      <x:c r="I20" s="10" t="str">
        <x:v>Not Started</x:v>
      </x:c>
      <x:c r="J20" s="10" t="str">
        <x:v>Largest VPN lab</x:v>
      </x:c>
    </x:row>
    <x:row r="21">
      <x:c r="A21" t="str">
        <x:v>SEC-LAB-206</x:v>
      </x:c>
      <x:c r="B21" t="str">
        <x:v>JNCIP</x:v>
      </x:c>
      <x:c r="C21" t="str">
        <x:v>Advanced PBR</x:v>
      </x:c>
      <x:c r="D21" t="str">
        <x:v>multi-interface vSRX</x:v>
      </x:c>
      <x:c r="E21" t="str">
        <x:v>juniper_vsrx</x:v>
      </x:c>
      <x:c r="F21" t="str">
        <x:v>network-multitool</x:v>
      </x:c>
      <x:c r="G21" t="str">
        <x:v>Hard</x:v>
      </x:c>
      <x:c r="H21" s="10" t="str">
        <x:v>Routing instances</x:v>
      </x:c>
      <x:c r="I21" s="10" t="str">
        <x:v>Not Started</x:v>
      </x:c>
      <x:c r="J21" s="10" t="str"/>
    </x:row>
    <x:row r="22">
      <x:c r="A22" t="str">
        <x:v>SEC-LAB-207</x:v>
      </x:c>
      <x:c r="B22" t="str">
        <x:v>JNCIP</x:v>
      </x:c>
      <x:c r="C22" t="str">
        <x:v>Multinode HA</x:v>
      </x:c>
      <x:c r="D22" t="str">
        <x:v>multi-site SRX</x:v>
      </x:c>
      <x:c r="E22" t="str">
        <x:v>juniper_vsrx</x:v>
      </x:c>
      <x:c r="F22" t="str">
        <x:v>network-multitool</x:v>
      </x:c>
      <x:c r="G22" t="str">
        <x:v>Expert</x:v>
      </x:c>
      <x:c r="H22" s="10" t="str">
        <x:v>Feature/platform validation</x:v>
      </x:c>
      <x:c r="I22" s="10" t="str">
        <x:v>Not Started</x:v>
      </x:c>
      <x:c r="J22" s="10" t="str"/>
    </x:row>
    <x:row r="23">
      <x:c r="A23" t="str">
        <x:v>SEC-LAB-208</x:v>
      </x:c>
      <x:c r="B23" t="str">
        <x:v>JNCIP</x:v>
      </x:c>
      <x:c r="C23" t="str">
        <x:v>Automated Threat Mitigation concepts</x:v>
      </x:c>
      <x:c r="D23" t="str">
        <x:v>multi-site SRX</x:v>
      </x:c>
      <x:c r="E23" t="str">
        <x:v>juniper_vsrx</x:v>
      </x:c>
      <x:c r="F23" t="str">
        <x:v>network-multitool</x:v>
      </x:c>
      <x:c r="G23" t="str">
        <x:v>Hard</x:v>
      </x:c>
      <x:c r="H23" s="10" t="str">
        <x:v>External integrations</x:v>
      </x:c>
      <x:c r="I23" s="10" t="str">
        <x:v>Not Started</x:v>
      </x:c>
      <x:c r="J23" s="10" t="str">
        <x:v>Theory + architecture</x:v>
      </x:c>
    </x:row>
    <x:row r="24">
      <x:c r="A24" t="str">
        <x:v>SEC-GATE-001</x:v>
      </x:c>
      <x:c r="B24" t="str">
        <x:v>JNCIA</x:v>
      </x:c>
      <x:c r="C24" t="str">
        <x:v>Certification readiness drill</x:v>
      </x:c>
      <x:c r="D24" t="str">
        <x:v>Compact end-to-end SRX</x:v>
      </x:c>
      <x:c r="E24" t="str">
        <x:v>juniper_vsrx</x:v>
      </x:c>
      <x:c r="F24" t="str">
        <x:v>network-multitool</x:v>
      </x:c>
      <x:c r="G24" t="str">
        <x:v>Medium</x:v>
      </x:c>
      <x:c r="H24" s="10" t="str">
        <x:v>SEC-LAB-001..007</x:v>
      </x:c>
      <x:c r="I24" s="10" t="str">
        <x:v>Not Started</x:v>
      </x:c>
      <x:c r="J24" s="10" t="str">
        <x:v>Timed checklist</x:v>
      </x:c>
    </x:row>
    <x:row r="25">
      <x:c r="A25" t="str">
        <x:v>SEC-GATE-002</x:v>
      </x:c>
      <x:c r="B25" t="str">
        <x:v>JNCIS</x:v>
      </x:c>
      <x:c r="C25" t="str">
        <x:v>Certification readiness drill</x:v>
      </x:c>
      <x:c r="D25" t="str">
        <x:v>2x vSRX + clients</x:v>
      </x:c>
      <x:c r="E25" t="str">
        <x:v>juniper_vsrx</x:v>
      </x:c>
      <x:c r="F25" t="str">
        <x:v>network-multitool</x:v>
      </x:c>
      <x:c r="G25" t="str">
        <x:v>Hard</x:v>
      </x:c>
      <x:c r="H25" s="10" t="str">
        <x:v>SEC-LAB-101..108</x:v>
      </x:c>
      <x:c r="I25" s="10" t="str">
        <x:v>Not Started</x:v>
      </x:c>
      <x:c r="J25" s="10" t="str">
        <x:v>Timed troubleshooting</x:v>
      </x:c>
    </x:row>
    <x:row r="26">
      <x:c r="A26" t="str">
        <x:v>SEC-GATE-003</x:v>
      </x:c>
      <x:c r="B26" t="str">
        <x:v>JNCIP</x:v>
      </x:c>
      <x:c r="C26" t="str">
        <x:v>Certification readiness drill</x:v>
      </x:c>
      <x:c r="D26" t="str">
        <x:v>3-4x vSRX + clients</x:v>
      </x:c>
      <x:c r="E26" t="str">
        <x:v>juniper_vsrx</x:v>
      </x:c>
      <x:c r="F26" t="str">
        <x:v>network-multitool</x:v>
      </x:c>
      <x:c r="G26" t="str">
        <x:v>Expert</x:v>
      </x:c>
      <x:c r="H26" s="10" t="str">
        <x:v>SEC-LAB-201..208</x:v>
      </x:c>
      <x:c r="I26" s="10" t="str">
        <x:v>Not Started</x:v>
      </x:c>
      <x:c r="J26" s="10" t="str">
        <x:v>Timed advanced scenarios</x:v>
      </x:c>
    </x:row>
  </x:sheetData>
  <x:mergeCells>
    <x:mergeCell ref="A1:J1"/>
    <x:mergeCell ref="A2:J2"/>
  </x:mergeCells>
  <x:dataValidations count="1">
    <x:dataValidation type="list" sqref="I5:I26">
      <x:formula1>"Not Started,In Progress,Complete,Blocked"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34" hidden="0" customWidth="1"/>
    <x:col min="4" max="4" width="16" hidden="0" customWidth="1"/>
    <x:col min="5" max="5" width="46" hidden="0" customWidth="1"/>
    <x:col min="6" max="6" width="55" hidden="0" customWidth="1"/>
    <x:col min="7" max="7" width="14" hidden="0" customWidth="1"/>
  </x:cols>
  <x:sheetData>
    <x:row r="1">
      <x:c r="A1" s="5" t="str">
        <x:v>Containerlab Image / Platform Inventory</x:v>
      </x:c>
      <x:c r="B1" s="5"/>
      <x:c r="C1" s="5"/>
      <x:c r="D1" s="5"/>
      <x:c r="E1" s="5"/>
      <x:c r="F1" s="5"/>
      <x:c r="G1" s="5"/>
    </x:row>
    <x:row r="2">
      <x:c r="A2" s="10" t="str">
        <x:v>Recommended inventory for the Security track. Image versions are intentionally left as variables so we can choose a Junos release after checking the exact exam/study requirement.</x:v>
      </x:c>
      <x:c r="B2" s="10"/>
      <x:c r="C2" s="10"/>
      <x:c r="D2" s="10"/>
      <x:c r="E2" s="10"/>
      <x:c r="F2" s="10"/>
      <x:c r="G2" s="10"/>
    </x:row>
    <x:row r="4">
      <x:c r="A4" s="16" t="str">
        <x:v>Platform</x:v>
      </x:c>
      <x:c r="B4" s="16" t="str">
        <x:v>Containerlab Kind</x:v>
      </x:c>
      <x:c r="C4" s="16" t="str">
        <x:v>Role in Roadmap</x:v>
      </x:c>
      <x:c r="D4" s="16" t="str">
        <x:v>Use Level</x:v>
      </x:c>
      <x:c r="E4" s="16" t="str">
        <x:v>Notes</x:v>
      </x:c>
      <x:c r="F4" s="16" t="str">
        <x:v>Official Documentation</x:v>
      </x:c>
      <x:c r="G4" s="16" t="str">
        <x:v>Status</x:v>
      </x:c>
    </x:row>
    <x:row r="5">
      <x:c r="A5" t="str">
        <x:v>Juniper vSRX</x:v>
      </x:c>
      <x:c r="B5" t="str">
        <x:v>juniper_vsrx</x:v>
      </x:c>
      <x:c r="C5" t="str">
        <x:v>Primary security firewall lab</x:v>
      </x:c>
      <x:c r="D5" s="10" t="str">
        <x:v>Required</x:v>
      </x:c>
      <x:c r="E5" s="10" t="str">
        <x:v>QEMU/vrnetlab; full SRX-oriented lab platform; startup-config supported</x:v>
      </x:c>
      <x:c r="F5" s="10" t="str">
        <x:v>https://containerlab.dev/manual/kinds/vr-vsrx/</x:v>
      </x:c>
      <x:c r="G5" s="10" t="str">
        <x:v>To Prepare</x:v>
      </x:c>
    </x:row>
    <x:row r="6">
      <x:c r="A6" t="str">
        <x:v>Juniper cSRX</x:v>
      </x:c>
      <x:c r="B6" t="str">
        <x:v>juniper_csrx</x:v>
      </x:c>
      <x:c r="C6" t="str">
        <x:v>Lightweight security-service / supplementary labs</x:v>
      </x:c>
      <x:c r="D6" s="10" t="str">
        <x:v>Optional</x:v>
      </x:c>
      <x:c r="E6" s="10" t="str">
        <x:v>Container-based; lighter/faster; feature set is more limited than vSRX</x:v>
      </x:c>
      <x:c r="F6" s="10" t="str">
        <x:v>https://containerlab.dev/manual/kinds/csrx/</x:v>
      </x:c>
      <x:c r="G6" s="10" t="str">
        <x:v>Optional</x:v>
      </x:c>
    </x:row>
    <x:row r="7">
      <x:c r="A7" t="str">
        <x:v>Linux multitool</x:v>
      </x:c>
      <x:c r="B7" t="str">
        <x:v>Linux container</x:v>
      </x:c>
      <x:c r="C7" t="str">
        <x:v>Client/server/traffic generation</x:v>
      </x:c>
      <x:c r="D7" s="10" t="str">
        <x:v>Required</x:v>
      </x:c>
      <x:c r="E7" s="10" t="str">
        <x:v>Use for ping/curl/iperf/tcpdump/traceroute and test traffic</x:v>
      </x:c>
      <x:c r="F7" s="10" t="str">
        <x:v>https://containerlab.dev/</x:v>
      </x:c>
      <x:c r="G7" s="10" t="str">
        <x:v>To Prepare</x:v>
      </x:c>
    </x:row>
    <x:row r="8">
      <x:c r="A8" t="str">
        <x:v>Juniper vJunos-switch</x:v>
      </x:c>
      <x:c r="B8" t="str">
        <x:v>juniper_vjunosswitch</x:v>
      </x:c>
      <x:c r="C8" t="str">
        <x:v>Optional L2 / EVPN-VXLAN support</x:v>
      </x:c>
      <x:c r="D8" s="10" t="str">
        <x:v>Later</x:v>
      </x:c>
      <x:c r="E8" s="10" t="str">
        <x:v>Add only if SEC-203 needs a switch-side lab</x:v>
      </x:c>
      <x:c r="F8" s="10" t="str">
        <x:v>https://containerlab.dev/manual/kinds/vr-vjunos-switch/</x:v>
      </x:c>
      <x:c r="G8" s="10" t="str">
        <x:v>Later</x:v>
      </x:c>
    </x:row>
    <x:row r="9">
      <x:c r="A9" t="str">
        <x:v>Security Director / external services</x:v>
      </x:c>
      <x:c r="B9" t="str">
        <x:v>External</x:v>
      </x:c>
      <x:c r="C9" t="str">
        <x:v>JNCIS/JNCIP management/service topics</x:v>
      </x:c>
      <x:c r="D9" s="10" t="str">
        <x:v>External</x:v>
      </x:c>
      <x:c r="E9" s="10" t="str">
        <x:v>Do not assume these are locally emulatable; mark theory or external lab when needed</x:v>
      </x:c>
      <x:c r="F9" s="10" t="str">
        <x:v>https://learningportal.juniper.net/juniper/user_activity_info.aspx?id=14363</x:v>
      </x:c>
      <x:c r="G9" s="10" t="str">
        <x:v>External</x:v>
      </x:c>
    </x:row>
  </x:sheetData>
  <x:mergeCells>
    <x:mergeCell ref="A1:G1"/>
    <x:mergeCell ref="A2:G2"/>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72" hidden="0" customWidth="1"/>
    <x:col min="3" max="3" width="70" hidden="0" customWidth="1"/>
    <x:col min="4" max="4" width="14" hidden="0" customWidth="1"/>
  </x:cols>
  <x:sheetData>
    <x:row r="1">
      <x:c r="A1" s="5" t="str">
        <x:v>Official Sources Used for This Roadmap</x:v>
      </x:c>
      <x:c r="B1" s="5"/>
      <x:c r="C1" s="5"/>
      <x:c r="D1" s="5"/>
    </x:row>
    <x:row r="3">
      <x:c r="A3" s="16" t="str">
        <x:v>Source</x:v>
      </x:c>
      <x:c r="B3" s="16" t="str">
        <x:v>URL</x:v>
      </x:c>
      <x:c r="C3" s="16" t="str">
        <x:v>What it supports</x:v>
      </x:c>
      <x:c r="D3" s="16" t="str">
        <x:v>Checked</x:v>
      </x:c>
    </x:row>
    <x:row r="4">
      <x:c r="A4" s="10" t="str">
        <x:v>JNCIA-SEC Certification Overview</x:v>
      </x:c>
      <x:c r="B4" s="10" t="str">
        <x:v>https://learningportal.juniper.net/juniper/user_activity_info.aspx?id=14362</x:v>
      </x:c>
      <x:c r="C4" s="10" t="str">
        <x:v>Certification track; JNCIA-SEC objectives; exam code JN0-232; no prerequisite</x:v>
      </x:c>
      <x:c r="D4" s="10" t="str">
        <x:v>2026-09-21</x:v>
      </x:c>
    </x:row>
    <x:row r="5">
      <x:c r="A5" s="10" t="str">
        <x:v>JNCIS-SEC Certification Overview</x:v>
      </x:c>
      <x:c r="B5" s="10" t="str">
        <x:v>https://learningportal.juniper.net/juniper/user_activity_info.aspx?id=14363</x:v>
      </x:c>
      <x:c r="C5" s="10" t="str">
        <x:v>JNCIS-SEC objectives; exam code JN0-336; prerequisite JNCIA-SEC; Junos OS 24.4</x:v>
      </x:c>
      <x:c r="D5" s="10" t="str">
        <x:v>2026-09-21</x:v>
      </x:c>
    </x:row>
    <x:row r="6">
      <x:c r="A6" s="10" t="str">
        <x:v>JNCIP-SEC Certification Overview</x:v>
      </x:c>
      <x:c r="B6" s="10" t="str">
        <x:v>https://learningportal.juniper.net/juniper/user_activity_info.aspx?id=14364</x:v>
      </x:c>
      <x:c r="C6" s="10" t="str">
        <x:v>JNCIP-SEC objectives; exam code JN0-637; prerequisite JNCIS-SEC; Junos OS 22.2 / SD 22.1</x:v>
      </x:c>
      <x:c r="D6" s="10" t="str">
        <x:v>2026-09-21</x:v>
      </x:c>
    </x:row>
    <x:row r="7">
      <x:c r="A7" s="10" t="str">
        <x:v>JNCIE-SEC Certification Overview</x:v>
      </x:c>
      <x:c r="B7" s="10" t="str">
        <x:v>https://learningportal.juniper.net/juniper/user_activity_info.aspx?id=14365</x:v>
      </x:c>
      <x:c r="C7" s="10" t="str">
        <x:v>Optional next level; practical exam scope and six-hour format</x:v>
      </x:c>
      <x:c r="D7" s="10" t="str">
        <x:v>2026-09-21</x:v>
      </x:c>
    </x:row>
    <x:row r="8">
      <x:c r="A8" s="10" t="str">
        <x:v>JNCIA-SEC Practice Exam</x:v>
      </x:c>
      <x:c r="B8" s="10" t="str">
        <x:v>https://learningportal.juniper.net/juniper/user_activity_info.aspx?id=EXAM-JNCIA-SEC</x:v>
      </x:c>
      <x:c r="C8" s="10" t="str">
        <x:v>Practice-exam resource</x:v>
      </x:c>
      <x:c r="D8" s="10" t="str">
        <x:v>2026-09-21</x:v>
      </x:c>
    </x:row>
    <x:row r="9">
      <x:c r="A9" s="10" t="str">
        <x:v>JNCIS-SEC Practice Exam</x:v>
      </x:c>
      <x:c r="B9" s="10" t="str">
        <x:v>https://learningportal.juniper.net/juniper/user_activity_info.aspx?id=EXAM-JNCIS-SEC</x:v>
      </x:c>
      <x:c r="C9" s="10" t="str">
        <x:v>Practice-exam resource</x:v>
      </x:c>
      <x:c r="D9" s="10" t="str">
        <x:v>2026-09-21</x:v>
      </x:c>
    </x:row>
    <x:row r="10">
      <x:c r="A10" s="10" t="str">
        <x:v>Containerlab Juniper vSRX</x:v>
      </x:c>
      <x:c r="B10" s="10" t="str">
        <x:v>https://containerlab.dev/manual/kinds/vr-vsrx/</x:v>
      </x:c>
      <x:c r="C10" s="10" t="str">
        <x:v>vSRX containerlab kind, interface naming, startup-config, boot behavior</x:v>
      </x:c>
      <x:c r="D10" s="10" t="str">
        <x:v>2026-09-21</x:v>
      </x:c>
    </x:row>
    <x:row r="11">
      <x:c r="A11" s="10" t="str">
        <x:v>Containerlab Juniper cSRX</x:v>
      </x:c>
      <x:c r="B11" s="10" t="str">
        <x:v>https://containerlab.dev/manual/kinds/csrx/</x:v>
      </x:c>
      <x:c r="C11" s="10" t="str">
        <x:v>cSRX kind, interface mapping, config, licensing</x:v>
      </x:c>
      <x:c r="D11" s="10" t="str">
        <x:v>2026-09-21</x:v>
      </x:c>
    </x:row>
  </x:sheetData>
  <x:mergeCells>
    <x:mergeCell ref="A1:D1"/>
  </x:mergeCells>
  <x:pageMargins left="0.7" right="0.7" top="0.75" bottom="0.75" header="0.3" footer="0.3"/>
</x:worksheet>
</file>