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Guide" sheetId="1" state="visible" r:id="rId1"/>
    <sheet name="Dashboard" sheetId="2" state="visible" r:id="rId2"/>
    <sheet name="Roadmap" sheetId="3" state="visible" r:id="rId3"/>
    <sheet name="Lab Checklist" sheetId="4" state="visible" r:id="rId4"/>
    <sheet name="Capstones" sheetId="5" state="visible" r:id="rId5"/>
    <sheet name="Sources" sheetId="6" state="visible" r:id="rId6"/>
  </sheets>
  <definedNames>
    <definedName name="solver_ver" localSheetId="3" hidden="1">3</definedName>
    <definedName name="solver_est" localSheetId="3" hidden="1">1</definedName>
    <definedName name="solver_nwt" localSheetId="3" hidden="1">1</definedName>
    <definedName name="solver_typ" localSheetId="3" hidden="1">1</definedName>
    <definedName name="solver_val" localSheetId="3" hidden="1">0</definedName>
    <definedName name="solver_neg" localSheetId="3" hidden="1">1</definedName>
    <definedName name="solver_eng" localSheetId="3" hidden="1">2</definedName>
    <definedName name="solver_pre" localSheetId="3" hidden="1">0.000001</definedName>
    <definedName name="solver_scl" localSheetId="3" hidden="1">2</definedName>
    <definedName name="solver_tim" localSheetId="3" hidden="1">2147483647</definedName>
    <definedName name="solver_itr" localSheetId="3" hidden="1">2147483647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<sst xmlns="http://schemas.openxmlformats.org/spreadsheetml/2006/main" count="751" uniqueCount="751">
  <si>
    <t xml:space="preserve">CCIE-SP Cisco SP Engineer Lab Roadmap</t>
  </si>
  <si>
    <t xml:space="preserve">Technology-first roadmap for a CCIE R&amp;S holder: exam readiness + production engineering mastery</t>
  </si>
  <si>
    <t xml:space="preserve">How to use this workbook</t>
  </si>
  <si>
    <t>1</t>
  </si>
  <si>
    <t xml:space="preserve">Work phase-by-phase, but revisit earlier technologies inside integrated labs.</t>
  </si>
  <si>
    <t>2</t>
  </si>
  <si>
    <t xml:space="preserve">Start each lab from a blank or minimal baseline; do not paste a finished solution.</t>
  </si>
  <si>
    <t>3</t>
  </si>
  <si>
    <t xml:space="preserve">Prove both control plane and forwarding/data plane with saved evidence.</t>
  </si>
  <si>
    <t>4</t>
  </si>
  <si>
    <t xml:space="preserve">Inject at least one fault for every lab marked Priority = Core or Critical.</t>
  </si>
  <si>
    <t>5</t>
  </si>
  <si>
    <t xml:space="preserve">Troubleshoot using hypothesis → evidence → minimal change → verification.</t>
  </si>
  <si>
    <t>6</t>
  </si>
  <si>
    <t xml:space="preserve">Record precheck, postcheck, rollback, and a concise root-cause note.</t>
  </si>
  <si>
    <t>7</t>
  </si>
  <si>
    <t xml:space="preserve">Mark Mastered only when Confidence is 4 or 5 and the Required Evidence exists.</t>
  </si>
  <si>
    <t>Status</t>
  </si>
  <si>
    <t>Meaning</t>
  </si>
  <si>
    <t>Confidence</t>
  </si>
  <si>
    <t xml:space="preserve">Mastery gate</t>
  </si>
  <si>
    <t xml:space="preserve">Not Started</t>
  </si>
  <si>
    <t xml:space="preserve">No meaningful attempt yet</t>
  </si>
  <si>
    <t>0–1</t>
  </si>
  <si>
    <t xml:space="preserve">Not mastered</t>
  </si>
  <si>
    <t xml:space="preserve">In Progress</t>
  </si>
  <si>
    <t xml:space="preserve">Configuration or validation is incomplete</t>
  </si>
  <si>
    <t>2–3</t>
  </si>
  <si>
    <t>Blocked</t>
  </si>
  <si>
    <t xml:space="preserve">Lab cannot proceed; record the blocker</t>
  </si>
  <si>
    <t>Any</t>
  </si>
  <si>
    <t>Review</t>
  </si>
  <si>
    <t xml:space="preserve">Works, but explanation/evidence is incomplete</t>
  </si>
  <si>
    <t>Mastered</t>
  </si>
  <si>
    <t xml:space="preserve">Repeatable without solution guide</t>
  </si>
  <si>
    <t>4–5</t>
  </si>
  <si>
    <t xml:space="preserve">Required evidence present</t>
  </si>
  <si>
    <t>Revisit</t>
  </si>
  <si>
    <t xml:space="preserve">Previously mastered but skill has decayed</t>
  </si>
  <si>
    <t xml:space="preserve">Repeat until ≥4</t>
  </si>
  <si>
    <t xml:space="preserve">Mastery evidence standard</t>
  </si>
  <si>
    <t>Configuration</t>
  </si>
  <si>
    <t xml:space="preserve">Final running config or intended diff</t>
  </si>
  <si>
    <t xml:space="preserve">Control plane</t>
  </si>
  <si>
    <t xml:space="preserve">Relevant protocol/database/RIB outputs</t>
  </si>
  <si>
    <t xml:space="preserve">Data plane</t>
  </si>
  <si>
    <t xml:space="preserve">CEF/MPLS forwarding plus ping/traffic/packet proof</t>
  </si>
  <si>
    <t>Failure</t>
  </si>
  <si>
    <t xml:space="preserve">Fault injected, symptoms captured, and root cause stated</t>
  </si>
  <si>
    <t xml:space="preserve">Change safety</t>
  </si>
  <si>
    <t xml:space="preserve">Precheck, postcheck, rollback command/plan</t>
  </si>
  <si>
    <t>Explanation</t>
  </si>
  <si>
    <t xml:space="preserve">Why the behavior occurred—not only which command fixed it</t>
  </si>
  <si>
    <t>Timing</t>
  </si>
  <si>
    <t xml:space="preserve">For capstones: elapsed time and unresolved gaps</t>
  </si>
  <si>
    <t xml:space="preserve">Progress Dashboard</t>
  </si>
  <si>
    <t xml:space="preserve">Live formulas update when Status, Confidence, and evidence fields change</t>
  </si>
  <si>
    <t>Metric</t>
  </si>
  <si>
    <t>Value</t>
  </si>
  <si>
    <t>Phase</t>
  </si>
  <si>
    <t>Labs</t>
  </si>
  <si>
    <t>Hours</t>
  </si>
  <si>
    <t>Completion</t>
  </si>
  <si>
    <t xml:space="preserve">Total Labs</t>
  </si>
  <si>
    <t xml:space="preserve">1. IOS XR &amp; SP Foundations</t>
  </si>
  <si>
    <t xml:space="preserve">2. Dual-Stack IGP Engineering</t>
  </si>
  <si>
    <t xml:space="preserve">3. BGP at Service-Provider Scale</t>
  </si>
  <si>
    <t xml:space="preserve">Total Estimated Hours</t>
  </si>
  <si>
    <t xml:space="preserve">4. MPLS Transport: LDP &amp; RSVP-TE</t>
  </si>
  <si>
    <t xml:space="preserve">5. Segment Routing MPLS &amp; SR-TE</t>
  </si>
  <si>
    <t xml:space="preserve">6. L3VPN &amp; Inter-AS</t>
  </si>
  <si>
    <t xml:space="preserve">7. L2VPN, EVPN &amp; Multihoming</t>
  </si>
  <si>
    <t xml:space="preserve">Mastery quality gate</t>
  </si>
  <si>
    <t xml:space="preserve">8. Multicast &amp; mVPN</t>
  </si>
  <si>
    <t xml:space="preserve">Confidence ≥4</t>
  </si>
  <si>
    <t xml:space="preserve">Enter 4 or 5</t>
  </si>
  <si>
    <t xml:space="preserve">9. Access, Metro &amp; Subscriber Edge</t>
  </si>
  <si>
    <t xml:space="preserve">10. QoS &amp; Traffic Engineering</t>
  </si>
  <si>
    <t>Evidence</t>
  </si>
  <si>
    <t>Required</t>
  </si>
  <si>
    <t xml:space="preserve">11. High Availability &amp; Fast Convergence</t>
  </si>
  <si>
    <t>Rule</t>
  </si>
  <si>
    <t xml:space="preserve">A lab counts as mastered only when all evidence exists; Dashboard uses Status as the progress signal.</t>
  </si>
  <si>
    <t xml:space="preserve">12. Security &amp; Infrastructure Protection</t>
  </si>
  <si>
    <t xml:space="preserve">13. Operations, Assurance &amp; Telemetry</t>
  </si>
  <si>
    <t xml:space="preserve">14. Automation &amp; Programmability</t>
  </si>
  <si>
    <t xml:space="preserve">15. Design, Migration &amp; Expert Integration</t>
  </si>
  <si>
    <t xml:space="preserve">Technology Roadmap</t>
  </si>
  <si>
    <t xml:space="preserve">Exit gates emphasize production behavior and repeatable troubleshooting—not topic recognition</t>
  </si>
  <si>
    <t xml:space="preserve">Primary Goal</t>
  </si>
  <si>
    <t xml:space="preserve">Exit Gate</t>
  </si>
  <si>
    <t xml:space="preserve">Est. Hours</t>
  </si>
  <si>
    <t xml:space="preserve">Suggested Weeks</t>
  </si>
  <si>
    <t xml:space="preserve">Why It Matters</t>
  </si>
  <si>
    <t xml:space="preserve">Operate IOS XR safely and build repeatable lab baselines</t>
  </si>
  <si>
    <t xml:space="preserve">Commit/rollback, interface/bundle, RIB/FIB and evidence workflow are fluent</t>
  </si>
  <si>
    <t xml:space="preserve">Transfers your CCIE R&amp;S base into IOS XR and SP-scale underlays.</t>
  </si>
  <si>
    <t xml:space="preserve">Engineer scalable IS-IS and OSPFv2/v3 underlays</t>
  </si>
  <si>
    <t xml:space="preserve">Predict adjacencies, LSDB/SPF behavior, metrics, summarization and convergence</t>
  </si>
  <si>
    <t xml:space="preserve">Build policy-rich, scalable interdomain routing</t>
  </si>
  <si>
    <t xml:space="preserve">Explain and prove best path, RR behavior, policy, PIC and graceful operations</t>
  </si>
  <si>
    <t>5–6</t>
  </si>
  <si>
    <t xml:space="preserve">Builds deployable SP transport and customer services.</t>
  </si>
  <si>
    <t xml:space="preserve">Master legacy and still-deployed MPLS transports</t>
  </si>
  <si>
    <t xml:space="preserve">Trace labels end-to-end and repair transport/TE failures</t>
  </si>
  <si>
    <t xml:space="preserve">Build modern SR-MPLS transport and traffic engineering</t>
  </si>
  <si>
    <t xml:space="preserve">Engineer SIDs, policies, TI-LFA and PCE-driven paths</t>
  </si>
  <si>
    <t xml:space="preserve">Deliver resilient IPv4/IPv6 MPLS L3VPN services</t>
  </si>
  <si>
    <t xml:space="preserve">Trace VPN routes/labels and solve leaking, PE-CE and Inter-AS faults</t>
  </si>
  <si>
    <t xml:space="preserve">Deliver VPWS/VPLS/EVPN services over MPLS</t>
  </si>
  <si>
    <t xml:space="preserve">Explain EVPN route types, DF, aliasing, mass-withdraw and data-plane behavior</t>
  </si>
  <si>
    <t>6–7</t>
  </si>
  <si>
    <t xml:space="preserve">Operate provider and VPN multicast services</t>
  </si>
  <si>
    <t xml:space="preserve">Trace trees, signaling and RPF across core and VPN domains</t>
  </si>
  <si>
    <t xml:space="preserve">Understand realistic SP access and subscriber service handoff</t>
  </si>
  <si>
    <t xml:space="preserve">Operate Ethernet access, BNG concepts, DHCP/PPPoE and service demarcation</t>
  </si>
  <si>
    <t>3–4</t>
  </si>
  <si>
    <t xml:space="preserve">Engineer measurable service differentiation</t>
  </si>
  <si>
    <t xml:space="preserve">Classify, mark, police, shape, queue and verify under congestion</t>
  </si>
  <si>
    <t xml:space="preserve">Minimize outage across link, node and control-plane failures</t>
  </si>
  <si>
    <t xml:space="preserve">Measure failure impact and convergence with BFD, FRR, NSR and GR</t>
  </si>
  <si>
    <t xml:space="preserve">Harden routing, management and data planes</t>
  </si>
  <si>
    <t xml:space="preserve">Apply protections without breaking operations and prove attack/failure behavior</t>
  </si>
  <si>
    <t xml:space="preserve">Troubleshoot and observe production-like networks</t>
  </si>
  <si>
    <t xml:space="preserve">Use OAM, logs, telemetry and packet-level evidence to isolate faults</t>
  </si>
  <si>
    <t xml:space="preserve">Builds the operating discipline expected from a senior SP engineer.</t>
  </si>
  <si>
    <t xml:space="preserve">Automate provisioning, validation and compliance</t>
  </si>
  <si>
    <t xml:space="preserve">Use YANG APIs, Python/Ansible and CI-style pre/post checks safely</t>
  </si>
  <si>
    <t xml:space="preserve">Integrate technologies under constraints and timed pressure</t>
  </si>
  <si>
    <t xml:space="preserve">Complete mixed-fault scenarios and defend design/change decisions</t>
  </si>
  <si>
    <t>6–8</t>
  </si>
  <si>
    <t xml:space="preserve">Lab Checklist</t>
  </si>
  <si>
    <t xml:space="preserve">Editable columns: Status, Confidence, Evidence Link/Folder, Completed Date, Notes/Gap</t>
  </si>
  <si>
    <t xml:space="preserve">Lab ID</t>
  </si>
  <si>
    <t xml:space="preserve">Phase #</t>
  </si>
  <si>
    <t xml:space="preserve">Phase / Domain</t>
  </si>
  <si>
    <t xml:space="preserve">Lab / Scenario</t>
  </si>
  <si>
    <t xml:space="preserve">Mastery Outcome</t>
  </si>
  <si>
    <t xml:space="preserve">Suggested Topology</t>
  </si>
  <si>
    <t>Difficulty</t>
  </si>
  <si>
    <t>Priority</t>
  </si>
  <si>
    <t>Dependency</t>
  </si>
  <si>
    <t xml:space="preserve">Confidence (0–5)</t>
  </si>
  <si>
    <t xml:space="preserve">Evidence Link/Folder</t>
  </si>
  <si>
    <t xml:space="preserve">Completed Date</t>
  </si>
  <si>
    <t xml:space="preserve">Required Evidence</t>
  </si>
  <si>
    <t>Notes/Gap</t>
  </si>
  <si>
    <t>Track</t>
  </si>
  <si>
    <t>LAB-001</t>
  </si>
  <si>
    <t xml:space="preserve">IOS XR &amp; SP Foundations</t>
  </si>
  <si>
    <t xml:space="preserve">IOS XR CLI hierarchy and configuration commits</t>
  </si>
  <si>
    <t xml:space="preserve">Configure, explain, verify, break, and restore ios xr cli hierarchy and configuration commits on IOS XR.</t>
  </si>
  <si>
    <t xml:space="preserve">2–3 XR nodes</t>
  </si>
  <si>
    <t>Foundation</t>
  </si>
  <si>
    <t>Core</t>
  </si>
  <si>
    <t xml:space="preserve">Configs; control-plane output; forwarding/traffic proof; fault + root cause; pre/post/rollback</t>
  </si>
  <si>
    <t xml:space="preserve">Phase 1</t>
  </si>
  <si>
    <t>LAB-002</t>
  </si>
  <si>
    <t xml:space="preserve">Commit confirmed, rollback and configuration replace</t>
  </si>
  <si>
    <t xml:space="preserve">Configure, explain, verify, break, and restore commit confirmed, rollback and configuration replace on IOS XR.</t>
  </si>
  <si>
    <t>Recommended</t>
  </si>
  <si>
    <t>LAB-003</t>
  </si>
  <si>
    <t xml:space="preserve">Interface addressing, MTU and link-state validation</t>
  </si>
  <si>
    <t xml:space="preserve">Configure, explain, verify, break, and restore interface addressing, mtu and link-state validation on IOS XR.</t>
  </si>
  <si>
    <t>LAB-004</t>
  </si>
  <si>
    <t xml:space="preserve">Bundle-Ether with LACP and minimum-active links</t>
  </si>
  <si>
    <t xml:space="preserve">Configure, explain, verify, break, and restore bundle-ether with lacp and minimum-active links on IOS XR.</t>
  </si>
  <si>
    <t>Intermediate</t>
  </si>
  <si>
    <t>LAB-005</t>
  </si>
  <si>
    <t xml:space="preserve">VRF, RIB, CEF and recursive resolution</t>
  </si>
  <si>
    <t xml:space="preserve">Configure, explain, verify, break, and restore vrf, rib, cef and recursive resolution on IOS XR.</t>
  </si>
  <si>
    <t>LAB-006</t>
  </si>
  <si>
    <t xml:space="preserve">Route-policy language fundamentals</t>
  </si>
  <si>
    <t xml:space="preserve">Configure, explain, verify, break, and restore route-policy language fundamentals on IOS XR.</t>
  </si>
  <si>
    <t>LAB-007</t>
  </si>
  <si>
    <t xml:space="preserve">Management VRF, SSH, AAA and file operations</t>
  </si>
  <si>
    <t xml:space="preserve">Configure, explain, verify, break, and restore management vrf, ssh, aaa and file operations on IOS XR.</t>
  </si>
  <si>
    <t>LAB-008</t>
  </si>
  <si>
    <t xml:space="preserve">Dual-Stack IGP Engineering</t>
  </si>
  <si>
    <t xml:space="preserve">IS-IS L2 single-area dual stack</t>
  </si>
  <si>
    <t xml:space="preserve">Configure, explain, verify, break, and restore is-is l2 single-area dual stack on IOS XR.</t>
  </si>
  <si>
    <t xml:space="preserve">4–6 XR nodes</t>
  </si>
  <si>
    <t xml:space="preserve">Phase 2</t>
  </si>
  <si>
    <t>LAB-009</t>
  </si>
  <si>
    <t xml:space="preserve">IS-IS L1/L2 hierarchy and attached-bit behavior</t>
  </si>
  <si>
    <t xml:space="preserve">Configure, explain, verify, break, and restore is-is l1/l2 hierarchy and attached-bit behavior on IOS XR.</t>
  </si>
  <si>
    <t>LAB-010</t>
  </si>
  <si>
    <t xml:space="preserve">IS-IS DIS election, pseudonode and LAN tuning</t>
  </si>
  <si>
    <t xml:space="preserve">Configure, explain, verify, break, and restore is-is dis election, pseudonode and lan tuning on IOS XR.</t>
  </si>
  <si>
    <t>LAB-011</t>
  </si>
  <si>
    <t xml:space="preserve">IS-IS wide metrics and overload bit</t>
  </si>
  <si>
    <t xml:space="preserve">Configure, explain, verify, break, and restore is-is wide metrics and overload bit on IOS XR.</t>
  </si>
  <si>
    <t>LAB-012</t>
  </si>
  <si>
    <t xml:space="preserve">IS-IS route leaking and summarization</t>
  </si>
  <si>
    <t xml:space="preserve">Configure, explain, verify, break, and restore is-is route leaking and summarization on IOS XR.</t>
  </si>
  <si>
    <t>LAB-013</t>
  </si>
  <si>
    <t xml:space="preserve">IS-IS authentication and adjacency faults</t>
  </si>
  <si>
    <t xml:space="preserve">Configure, explain, verify, break, and restore is-is authentication and adjacency faults on IOS XR.</t>
  </si>
  <si>
    <t>LAB-014</t>
  </si>
  <si>
    <t xml:space="preserve">OSPFv2 multi-area and ABR behavior</t>
  </si>
  <si>
    <t xml:space="preserve">Configure, explain, verify, break, and restore ospfv2 multi-area and abr behavior on IOS XR.</t>
  </si>
  <si>
    <t>LAB-015</t>
  </si>
  <si>
    <t xml:space="preserve">OSPFv3 dual-stack address families</t>
  </si>
  <si>
    <t xml:space="preserve">Configure, explain, verify, break, and restore ospfv3 dual-stack address families on IOS XR.</t>
  </si>
  <si>
    <t>LAB-016</t>
  </si>
  <si>
    <t xml:space="preserve">OSPF network types and DR/BDR behavior</t>
  </si>
  <si>
    <t xml:space="preserve">Configure, explain, verify, break, and restore ospf network types and dr/bdr behavior on IOS XR.</t>
  </si>
  <si>
    <t>LAB-017</t>
  </si>
  <si>
    <t xml:space="preserve">OSPF summarization, filtering and default origination</t>
  </si>
  <si>
    <t xml:space="preserve">Configure, explain, verify, break, and restore ospf summarization, filtering and default origination on IOS XR.</t>
  </si>
  <si>
    <t>LAB-018</t>
  </si>
  <si>
    <t xml:space="preserve">IGP metric engineering and ECMP</t>
  </si>
  <si>
    <t xml:space="preserve">Configure, explain, verify, break, and restore igp metric engineering and ecmp on IOS XR.</t>
  </si>
  <si>
    <t>LAB-019</t>
  </si>
  <si>
    <t xml:space="preserve">IGP microloop and convergence observation</t>
  </si>
  <si>
    <t xml:space="preserve">Configure, explain, verify, break, and restore igp microloop and convergence observation on IOS XR.</t>
  </si>
  <si>
    <t>LAB-020</t>
  </si>
  <si>
    <t xml:space="preserve">BGP at Service-Provider Scale</t>
  </si>
  <si>
    <t xml:space="preserve">eBGP IPv4/IPv6 baseline and multihop</t>
  </si>
  <si>
    <t xml:space="preserve">Configure, explain, verify, break, and restore ebgp ipv4/ipv6 baseline and multihop on IOS XR.</t>
  </si>
  <si>
    <t>Advanced</t>
  </si>
  <si>
    <t xml:space="preserve">Phase 3</t>
  </si>
  <si>
    <t>LAB-021</t>
  </si>
  <si>
    <t xml:space="preserve">BGP best-path deep dive and deterministic MED</t>
  </si>
  <si>
    <t xml:space="preserve">Configure, explain, verify, break, and restore bgp best-path deep dive and deterministic med on IOS XR.</t>
  </si>
  <si>
    <t>LAB-022</t>
  </si>
  <si>
    <t xml:space="preserve">IOS XR route-policy matching and attribute changes</t>
  </si>
  <si>
    <t xml:space="preserve">Configure, explain, verify, break, and restore ios xr route-policy matching and attribute changes on IOS XR.</t>
  </si>
  <si>
    <t>LAB-023</t>
  </si>
  <si>
    <t xml:space="preserve">Prefix-set, AS-path-set and community-set design</t>
  </si>
  <si>
    <t xml:space="preserve">Configure, explain, verify, break, and restore prefix-set, as-path-set and community-set design on IOS XR.</t>
  </si>
  <si>
    <t>Expert</t>
  </si>
  <si>
    <t>LAB-024</t>
  </si>
  <si>
    <t xml:space="preserve">BGP route reflector baseline and cluster behavior</t>
  </si>
  <si>
    <t xml:space="preserve">Configure, explain, verify, break, and restore bgp route reflector baseline and cluster behavior on IOS XR.</t>
  </si>
  <si>
    <t>LAB-025</t>
  </si>
  <si>
    <t xml:space="preserve">Hierarchical route reflection and path hiding</t>
  </si>
  <si>
    <t xml:space="preserve">Configure, explain, verify, break, and restore hierarchical route reflection and path hiding on IOS XR.</t>
  </si>
  <si>
    <t>LAB-026</t>
  </si>
  <si>
    <t xml:space="preserve">Add-Path and optimal route reflection concepts</t>
  </si>
  <si>
    <t xml:space="preserve">Configure, explain, verify, break, and restore add-path and optimal route reflection concepts on IOS XR.</t>
  </si>
  <si>
    <t>LAB-027</t>
  </si>
  <si>
    <t xml:space="preserve">BGP multipath and unequal policy outcomes</t>
  </si>
  <si>
    <t xml:space="preserve">Configure, explain, verify, break, and restore bgp multipath and unequal policy outcomes on IOS XR.</t>
  </si>
  <si>
    <t>LAB-028</t>
  </si>
  <si>
    <t xml:space="preserve">BGP aggregation, suppression and conditional advertisement</t>
  </si>
  <si>
    <t xml:space="preserve">Configure, explain, verify, break, and restore bgp aggregation, suppression and conditional advertisement on IOS XR.</t>
  </si>
  <si>
    <t>LAB-029</t>
  </si>
  <si>
    <t xml:space="preserve">BGP local-AS, allowas-in and AS override</t>
  </si>
  <si>
    <t xml:space="preserve">Configure, explain, verify, break, and restore bgp local-as, allowas-in and as override on IOS XR.</t>
  </si>
  <si>
    <t>LAB-030</t>
  </si>
  <si>
    <t xml:space="preserve">BGP graceful shutdown and maintenance policy</t>
  </si>
  <si>
    <t xml:space="preserve">Configure, explain, verify, break, and restore bgp graceful shutdown and maintenance policy on IOS XR.</t>
  </si>
  <si>
    <t>LAB-031</t>
  </si>
  <si>
    <t xml:space="preserve">BGP maximum-prefix and session protection</t>
  </si>
  <si>
    <t xml:space="preserve">Configure, explain, verify, break, and restore bgp maximum-prefix and session protection on IOS XR.</t>
  </si>
  <si>
    <t>LAB-032</t>
  </si>
  <si>
    <t xml:space="preserve">BGP labeled-unicast transport</t>
  </si>
  <si>
    <t xml:space="preserve">Configure, explain, verify, break, and restore bgp labeled-unicast transport on IOS XR.</t>
  </si>
  <si>
    <t>LAB-033</t>
  </si>
  <si>
    <t xml:space="preserve">BGP convergence, PIC edge/core and next-hop tracking</t>
  </si>
  <si>
    <t xml:space="preserve">Configure, explain, verify, break, and restore bgp convergence, pic edge/core and next-hop tracking on IOS XR.</t>
  </si>
  <si>
    <t>LAB-034</t>
  </si>
  <si>
    <t xml:space="preserve">MPLS Transport: LDP &amp; RSVP-TE</t>
  </si>
  <si>
    <t xml:space="preserve">LDP discovery, sessions and label bindings</t>
  </si>
  <si>
    <t xml:space="preserve">Configure, explain, verify, break, and restore ldp discovery, sessions and label bindings on IOS XR.</t>
  </si>
  <si>
    <t xml:space="preserve">Phase 4</t>
  </si>
  <si>
    <t>LAB-035</t>
  </si>
  <si>
    <t xml:space="preserve">LDP router-id and transport-address failure</t>
  </si>
  <si>
    <t xml:space="preserve">Configure, explain, verify, break, and restore ldp router-id and transport-address failure on IOS XR.</t>
  </si>
  <si>
    <t>LAB-036</t>
  </si>
  <si>
    <t xml:space="preserve">LDP-IGP synchronization</t>
  </si>
  <si>
    <t xml:space="preserve">Configure, explain, verify, break, and restore ldp-igp synchronization on IOS XR.</t>
  </si>
  <si>
    <t>LAB-037</t>
  </si>
  <si>
    <t xml:space="preserve">Targeted LDP session and pseudowire transport</t>
  </si>
  <si>
    <t xml:space="preserve">Configure, explain, verify, break, and restore targeted ldp session and pseudowire transport on IOS XR.</t>
  </si>
  <si>
    <t>LAB-038</t>
  </si>
  <si>
    <t xml:space="preserve">PHP, explicit-null and label-stack tracing</t>
  </si>
  <si>
    <t xml:space="preserve">Configure, explain, verify, break, and restore php, explicit-null and label-stack tracing on IOS XR.</t>
  </si>
  <si>
    <t>LAB-039</t>
  </si>
  <si>
    <t xml:space="preserve">LDP authentication and filtering</t>
  </si>
  <si>
    <t xml:space="preserve">Configure, explain, verify, break, and restore ldp authentication and filtering on IOS XR.</t>
  </si>
  <si>
    <t>LAB-040</t>
  </si>
  <si>
    <t xml:space="preserve">RSVP-TE topology and IGP TE extensions</t>
  </si>
  <si>
    <t xml:space="preserve">Configure, explain, verify, break, and restore rsvp-te topology and igp te extensions on IOS XR.</t>
  </si>
  <si>
    <t>LAB-041</t>
  </si>
  <si>
    <t xml:space="preserve">RSVP-TE explicit path and bandwidth reservation</t>
  </si>
  <si>
    <t xml:space="preserve">Configure, explain, verify, break, and restore rsvp-te explicit path and bandwidth reservation on IOS XR.</t>
  </si>
  <si>
    <t>LAB-042</t>
  </si>
  <si>
    <t xml:space="preserve">RSVP-TE path protection and FRR</t>
  </si>
  <si>
    <t xml:space="preserve">Configure, explain, verify, break, and restore rsvp-te path protection and frr on IOS XR.</t>
  </si>
  <si>
    <t>LAB-043</t>
  </si>
  <si>
    <t xml:space="preserve">MPLS MTU and fragmentation troubleshooting</t>
  </si>
  <si>
    <t xml:space="preserve">Configure, explain, verify, break, and restore mpls mtu and fragmentation troubleshooting on IOS XR.</t>
  </si>
  <si>
    <t>LAB-044</t>
  </si>
  <si>
    <t xml:space="preserve">Segment Routing MPLS &amp; SR-TE</t>
  </si>
  <si>
    <t xml:space="preserve">SR-MPLS global block and prefix-SID fundamentals</t>
  </si>
  <si>
    <t xml:space="preserve">Configure, explain, verify, break, and restore sr-mpls global block and prefix-sid fundamentals on IOS XR.</t>
  </si>
  <si>
    <t xml:space="preserve">Phase 5</t>
  </si>
  <si>
    <t>LAB-045</t>
  </si>
  <si>
    <t xml:space="preserve">IS-IS SR-MPLS underlay</t>
  </si>
  <si>
    <t xml:space="preserve">Configure, explain, verify, break, and restore is-is sr-mpls underlay on IOS XR.</t>
  </si>
  <si>
    <t>LAB-046</t>
  </si>
  <si>
    <t xml:space="preserve">OSPF SR-MPLS underlay</t>
  </si>
  <si>
    <t xml:space="preserve">Configure, explain, verify, break, and restore ospf sr-mpls underlay on IOS XR.</t>
  </si>
  <si>
    <t>LAB-047</t>
  </si>
  <si>
    <t xml:space="preserve">Absolute/relative prefix-SID collision handling</t>
  </si>
  <si>
    <t xml:space="preserve">Configure, explain, verify, break, and restore absolute/relative prefix-sid collision handling on IOS XR.</t>
  </si>
  <si>
    <t>LAB-048</t>
  </si>
  <si>
    <t xml:space="preserve">Adjacency SID and strict-path forwarding</t>
  </si>
  <si>
    <t xml:space="preserve">Configure, explain, verify, break, and restore adjacency sid and strict-path forwarding on IOS XR.</t>
  </si>
  <si>
    <t>LAB-049</t>
  </si>
  <si>
    <t xml:space="preserve">SR-TE policy with explicit segment list</t>
  </si>
  <si>
    <t xml:space="preserve">Configure, explain, verify, break, and restore sr-te policy with explicit segment list on IOS XR.</t>
  </si>
  <si>
    <t>LAB-050</t>
  </si>
  <si>
    <t xml:space="preserve">SR-TE dynamic candidate path</t>
  </si>
  <si>
    <t xml:space="preserve">Configure, explain, verify, break, and restore sr-te dynamic candidate path on IOS XR.</t>
  </si>
  <si>
    <t>LAB-051</t>
  </si>
  <si>
    <t xml:space="preserve">BGP color extended community and ODN steering</t>
  </si>
  <si>
    <t xml:space="preserve">Configure, explain, verify, break, and restore bgp color extended community and odn steering on IOS XR.</t>
  </si>
  <si>
    <t>LAB-052</t>
  </si>
  <si>
    <t xml:space="preserve">PCE/PCEP path computation workflow</t>
  </si>
  <si>
    <t xml:space="preserve">Configure, explain, verify, break, and restore pce/pcep path computation workflow on IOS XR.</t>
  </si>
  <si>
    <t>LAB-053</t>
  </si>
  <si>
    <t xml:space="preserve">TI-LFA link protection</t>
  </si>
  <si>
    <t xml:space="preserve">Configure, explain, verify, break, and restore ti-lfa link protection on IOS XR.</t>
  </si>
  <si>
    <t>LAB-054</t>
  </si>
  <si>
    <t xml:space="preserve">TI-LFA node and SRLG protection</t>
  </si>
  <si>
    <t xml:space="preserve">Configure, explain, verify, break, and restore ti-lfa node and srlg protection on IOS XR.</t>
  </si>
  <si>
    <t>LAB-055</t>
  </si>
  <si>
    <t xml:space="preserve">SR flexible algorithm fundamentals</t>
  </si>
  <si>
    <t xml:space="preserve">Configure, explain, verify, break, and restore sr flexible algorithm fundamentals on IOS XR.</t>
  </si>
  <si>
    <t>LAB-056</t>
  </si>
  <si>
    <t xml:space="preserve">SR policy failure and fallback behavior</t>
  </si>
  <si>
    <t xml:space="preserve">Configure, explain, verify, break, and restore sr policy failure and fallback behavior on IOS XR.</t>
  </si>
  <si>
    <t>LAB-057</t>
  </si>
  <si>
    <t xml:space="preserve">L3VPN &amp; Inter-AS</t>
  </si>
  <si>
    <t xml:space="preserve">Basic IPv4 L3VPN with MP-BGP</t>
  </si>
  <si>
    <t xml:space="preserve">Configure, explain, verify, break, and restore basic ipv4 l3vpn with mp-bgp on IOS XR.</t>
  </si>
  <si>
    <t xml:space="preserve">Phase 6</t>
  </si>
  <si>
    <t>LAB-058</t>
  </si>
  <si>
    <t xml:space="preserve">Dual-stack L3VPN and VPNv6</t>
  </si>
  <si>
    <t xml:space="preserve">Configure, explain, verify, break, and restore dual-stack l3vpn and vpnv6 on IOS XR.</t>
  </si>
  <si>
    <t>LAB-059</t>
  </si>
  <si>
    <t xml:space="preserve">RD/RT design and route-target constraints</t>
  </si>
  <si>
    <t xml:space="preserve">Configure, explain, verify, break, and restore rd/rt design and route-target constraints on IOS XR.</t>
  </si>
  <si>
    <t>LAB-060</t>
  </si>
  <si>
    <t xml:space="preserve">PE-CE static and connected routing</t>
  </si>
  <si>
    <t xml:space="preserve">Configure, explain, verify, break, and restore pe-ce static and connected routing on IOS XR.</t>
  </si>
  <si>
    <t>LAB-061</t>
  </si>
  <si>
    <t xml:space="preserve">PE-CE OSPF with sham-link/domain behavior</t>
  </si>
  <si>
    <t xml:space="preserve">Configure, explain, verify, break, and restore pe-ce ospf with sham-link/domain behavior on IOS XR.</t>
  </si>
  <si>
    <t>LAB-062</t>
  </si>
  <si>
    <t xml:space="preserve">PE-CE eBGP with AS override and allowas-in</t>
  </si>
  <si>
    <t xml:space="preserve">Configure, explain, verify, break, and restore pe-ce ebgp with as override and allowas-in on IOS XR.</t>
  </si>
  <si>
    <t>LAB-063</t>
  </si>
  <si>
    <t xml:space="preserve">PE-CE IS-IS or RIP service comparison</t>
  </si>
  <si>
    <t xml:space="preserve">Configure, explain, verify, break, and restore pe-ce is-is or rip service comparison on IOS XR.</t>
  </si>
  <si>
    <t>LAB-064</t>
  </si>
  <si>
    <t xml:space="preserve">Extranet route leaking with selective RT policy</t>
  </si>
  <si>
    <t xml:space="preserve">Configure, explain, verify, break, and restore extranet route leaking with selective rt policy on IOS XR.</t>
  </si>
  <si>
    <t>LAB-065</t>
  </si>
  <si>
    <t xml:space="preserve">VRF route leaking via route-policy</t>
  </si>
  <si>
    <t xml:space="preserve">Configure, explain, verify, break, and restore vrf route leaking via route-policy on IOS XR.</t>
  </si>
  <si>
    <t>LAB-066</t>
  </si>
  <si>
    <t xml:space="preserve">Carrier Supporting Carrier concepts</t>
  </si>
  <si>
    <t xml:space="preserve">Configure, explain, verify, break, and restore carrier supporting carrier concepts on IOS XR.</t>
  </si>
  <si>
    <t>LAB-067</t>
  </si>
  <si>
    <t xml:space="preserve">Inter-AS Option A</t>
  </si>
  <si>
    <t xml:space="preserve">Configure, explain, verify, break, and restore inter-as option a on IOS XR.</t>
  </si>
  <si>
    <t>LAB-068</t>
  </si>
  <si>
    <t xml:space="preserve">Inter-AS Option B</t>
  </si>
  <si>
    <t xml:space="preserve">Configure, explain, verify, break, and restore inter-as option b on IOS XR.</t>
  </si>
  <si>
    <t>LAB-069</t>
  </si>
  <si>
    <t xml:space="preserve">Inter-AS Option C</t>
  </si>
  <si>
    <t xml:space="preserve">Configure, explain, verify, break, and restore inter-as option c on IOS XR.</t>
  </si>
  <si>
    <t>LAB-070</t>
  </si>
  <si>
    <t xml:space="preserve">L3VPN over SR-MPLS transport</t>
  </si>
  <si>
    <t xml:space="preserve">Configure, explain, verify, break, and restore l3vpn over sr-mpls transport on IOS XR.</t>
  </si>
  <si>
    <t>LAB-071</t>
  </si>
  <si>
    <t xml:space="preserve">L3VPN convergence and per-prefix label behavior</t>
  </si>
  <si>
    <t xml:space="preserve">Configure, explain, verify, break, and restore l3vpn convergence and per-prefix label behavior on IOS XR.</t>
  </si>
  <si>
    <t>LAB-072</t>
  </si>
  <si>
    <t xml:space="preserve">L2VPN, EVPN &amp; Multihoming</t>
  </si>
  <si>
    <t xml:space="preserve">VPWS/xconnect over LDP</t>
  </si>
  <si>
    <t xml:space="preserve">Configure, explain, verify, break, and restore vpws/xconnect over ldp on IOS XR.</t>
  </si>
  <si>
    <t xml:space="preserve">4 PE + 2 P + CE/host nodes</t>
  </si>
  <si>
    <t xml:space="preserve">Phase 7</t>
  </si>
  <si>
    <t>LAB-073</t>
  </si>
  <si>
    <t xml:space="preserve">VPWS control word, MTU and status signaling</t>
  </si>
  <si>
    <t xml:space="preserve">Configure, explain, verify, break, and restore vpws control word, mtu and status signaling on IOS XR.</t>
  </si>
  <si>
    <t>LAB-074</t>
  </si>
  <si>
    <t xml:space="preserve">VPLS bridge-domain and split horizon</t>
  </si>
  <si>
    <t xml:space="preserve">Configure, explain, verify, break, and restore vpls bridge-domain and split horizon on IOS XR.</t>
  </si>
  <si>
    <t>LAB-075</t>
  </si>
  <si>
    <t xml:space="preserve">VPLS multihoming and pseudowire redundancy</t>
  </si>
  <si>
    <t xml:space="preserve">Configure, explain, verify, break, and restore vpls multihoming and pseudowire redundancy on IOS XR.</t>
  </si>
  <si>
    <t>LAB-076</t>
  </si>
  <si>
    <t xml:space="preserve">EVPN route-type 2 MAC/IP advertisement</t>
  </si>
  <si>
    <t xml:space="preserve">Configure, explain, verify, break, and restore evpn route-type 2 mac/ip advertisement on IOS XR.</t>
  </si>
  <si>
    <t>LAB-077</t>
  </si>
  <si>
    <t xml:space="preserve">EVPN route-type 3 inclusive multicast</t>
  </si>
  <si>
    <t xml:space="preserve">Configure, explain, verify, break, and restore evpn route-type 3 inclusive multicast on IOS XR.</t>
  </si>
  <si>
    <t>LAB-078</t>
  </si>
  <si>
    <t xml:space="preserve">EVPN VPWS with route types 1 and 4</t>
  </si>
  <si>
    <t xml:space="preserve">Configure, explain, verify, break, and restore evpn vpws with route types 1 and 4 on IOS XR.</t>
  </si>
  <si>
    <t>LAB-079</t>
  </si>
  <si>
    <t xml:space="preserve">EVPN E-LAN single-homing over MPLS</t>
  </si>
  <si>
    <t xml:space="preserve">Configure, explain, verify, break, and restore evpn e-lan single-homing over mpls on IOS XR.</t>
  </si>
  <si>
    <t>LAB-080</t>
  </si>
  <si>
    <t xml:space="preserve">EVPN all-active multihoming and ESI</t>
  </si>
  <si>
    <t xml:space="preserve">Configure, explain, verify, break, and restore evpn all-active multihoming and esi on IOS XR.</t>
  </si>
  <si>
    <t>LAB-081</t>
  </si>
  <si>
    <t xml:space="preserve">EVPN single-active multihoming</t>
  </si>
  <si>
    <t xml:space="preserve">Configure, explain, verify, break, and restore evpn single-active multihoming on IOS XR.</t>
  </si>
  <si>
    <t>LAB-082</t>
  </si>
  <si>
    <t xml:space="preserve">EVPN DF election and service carving</t>
  </si>
  <si>
    <t xml:space="preserve">Configure, explain, verify, break, and restore evpn df election and service carving on IOS XR.</t>
  </si>
  <si>
    <t>LAB-083</t>
  </si>
  <si>
    <t xml:space="preserve">EVPN aliasing and backup-path behavior</t>
  </si>
  <si>
    <t xml:space="preserve">Configure, explain, verify, break, and restore evpn aliasing and backup-path behavior on IOS XR.</t>
  </si>
  <si>
    <t>LAB-084</t>
  </si>
  <si>
    <t xml:space="preserve">EVPN MAC mobility and duplicate detection</t>
  </si>
  <si>
    <t xml:space="preserve">Configure, explain, verify, break, and restore evpn mac mobility and duplicate detection on IOS XR.</t>
  </si>
  <si>
    <t>LAB-085</t>
  </si>
  <si>
    <t xml:space="preserve">EVPN mass-withdraw convergence</t>
  </si>
  <si>
    <t xml:space="preserve">Configure, explain, verify, break, and restore evpn mass-withdraw convergence on IOS XR.</t>
  </si>
  <si>
    <t>LAB-086</t>
  </si>
  <si>
    <t xml:space="preserve">EVPN integrated routing and bridging concepts</t>
  </si>
  <si>
    <t xml:space="preserve">Configure, explain, verify, break, and restore evpn integrated routing and bridging concepts on IOS XR.</t>
  </si>
  <si>
    <t>LAB-087</t>
  </si>
  <si>
    <t xml:space="preserve">EVPN over SR-MPLS and SR-TE steering</t>
  </si>
  <si>
    <t xml:space="preserve">Configure, explain, verify, break, and restore evpn over sr-mpls and sr-te steering on IOS XR.</t>
  </si>
  <si>
    <t>LAB-088</t>
  </si>
  <si>
    <t xml:space="preserve">Multicast &amp; mVPN</t>
  </si>
  <si>
    <t xml:space="preserve">PIM sparse mode and RP fundamentals</t>
  </si>
  <si>
    <t xml:space="preserve">Configure, explain, verify, break, and restore pim sparse mode and rp fundamentals on IOS XR.</t>
  </si>
  <si>
    <t xml:space="preserve">Phase 8</t>
  </si>
  <si>
    <t>LAB-089</t>
  </si>
  <si>
    <t xml:space="preserve">Static RP and BSR control plane</t>
  </si>
  <si>
    <t xml:space="preserve">Configure, explain, verify, break, and restore static rp and bsr control plane on IOS XR.</t>
  </si>
  <si>
    <t>LAB-090</t>
  </si>
  <si>
    <t xml:space="preserve">SSM and IGMPv3</t>
  </si>
  <si>
    <t xml:space="preserve">Configure, explain, verify, break, and restore ssm and igmpv3 on IOS XR.</t>
  </si>
  <si>
    <t>LAB-091</t>
  </si>
  <si>
    <t xml:space="preserve">Anycast RP with MSDP</t>
  </si>
  <si>
    <t xml:space="preserve">Configure, explain, verify, break, and restore anycast rp with msdp on IOS XR.</t>
  </si>
  <si>
    <t>LAB-092</t>
  </si>
  <si>
    <t xml:space="preserve">Multicast RPF and ECMP behavior</t>
  </si>
  <si>
    <t xml:space="preserve">Configure, explain, verify, break, and restore multicast rpf and ecmp behavior on IOS XR.</t>
  </si>
  <si>
    <t>LAB-093</t>
  </si>
  <si>
    <t xml:space="preserve">NG-mVPN profile 0 baseline</t>
  </si>
  <si>
    <t xml:space="preserve">Configure, explain, verify, break, and restore ng-mvpn profile 0 baseline on IOS XR.</t>
  </si>
  <si>
    <t>LAB-094</t>
  </si>
  <si>
    <t xml:space="preserve">NG-mVPN profile 7 shared tree</t>
  </si>
  <si>
    <t xml:space="preserve">Configure, explain, verify, break, and restore ng-mvpn profile 7 shared tree on IOS XR.</t>
  </si>
  <si>
    <t>LAB-095</t>
  </si>
  <si>
    <t xml:space="preserve">NG-mVPN profile 11 source tree</t>
  </si>
  <si>
    <t xml:space="preserve">Configure, explain, verify, break, and restore ng-mvpn profile 11 source tree on IOS XR.</t>
  </si>
  <si>
    <t>LAB-096</t>
  </si>
  <si>
    <t xml:space="preserve">mVPN route types and PMSI attributes</t>
  </si>
  <si>
    <t xml:space="preserve">Configure, explain, verify, break, and restore mvpn route types and pmsi attributes on IOS XR.</t>
  </si>
  <si>
    <t>LAB-097</t>
  </si>
  <si>
    <t xml:space="preserve">Extranet multicast VPN</t>
  </si>
  <si>
    <t xml:space="preserve">Configure, explain, verify, break, and restore extranet multicast vpn on IOS XR.</t>
  </si>
  <si>
    <t>LAB-098</t>
  </si>
  <si>
    <t xml:space="preserve">Multicast failure isolation and packet proof</t>
  </si>
  <si>
    <t xml:space="preserve">Configure, explain, verify, break, and restore multicast failure isolation and packet proof on IOS XR.</t>
  </si>
  <si>
    <t>LAB-099</t>
  </si>
  <si>
    <t xml:space="preserve">Access, Metro &amp; Subscriber Edge</t>
  </si>
  <si>
    <t xml:space="preserve">802.1Q handoff, QinQ and rewrite operations</t>
  </si>
  <si>
    <t xml:space="preserve">Configure, explain, verify, break, and restore 802.1q handoff, qinq and rewrite operations on IOS XR.</t>
  </si>
  <si>
    <t xml:space="preserve">2 PE + access/host nodes</t>
  </si>
  <si>
    <t xml:space="preserve">Phase 9</t>
  </si>
  <si>
    <t>LAB-100</t>
  </si>
  <si>
    <t xml:space="preserve">Ethernet CFM continuity checks</t>
  </si>
  <si>
    <t xml:space="preserve">Configure, explain, verify, break, and restore ethernet cfm continuity checks on IOS XR.</t>
  </si>
  <si>
    <t>LAB-101</t>
  </si>
  <si>
    <t xml:space="preserve">REP/G.8032 concepts and failure domains</t>
  </si>
  <si>
    <t xml:space="preserve">Configure, explain, verify, break, and restore rep/g.8032 concepts and failure domains on IOS XR.</t>
  </si>
  <si>
    <t>LAB-102</t>
  </si>
  <si>
    <t xml:space="preserve">DHCP relay and option 82</t>
  </si>
  <si>
    <t xml:space="preserve">Configure, explain, verify, break, and restore dhcp relay and option 82 on IOS XR.</t>
  </si>
  <si>
    <t>LAB-103</t>
  </si>
  <si>
    <t xml:space="preserve">PPPoE discovery/session workflow</t>
  </si>
  <si>
    <t xml:space="preserve">Configure, explain, verify, break, and restore pppoe discovery/session workflow on IOS XR.</t>
  </si>
  <si>
    <t>LAB-104</t>
  </si>
  <si>
    <t xml:space="preserve">BNG subscriber session concepts</t>
  </si>
  <si>
    <t xml:space="preserve">Configure, explain, verify, break, and restore bng subscriber session concepts on IOS XR.</t>
  </si>
  <si>
    <t>LAB-105</t>
  </si>
  <si>
    <t xml:space="preserve">Access dual-homing and service demarcation</t>
  </si>
  <si>
    <t xml:space="preserve">Configure, explain, verify, break, and restore access dual-homing and service demarcation on IOS XR.</t>
  </si>
  <si>
    <t>LAB-106</t>
  </si>
  <si>
    <t xml:space="preserve">QoS &amp; Traffic Engineering</t>
  </si>
  <si>
    <t xml:space="preserve">Modular QoS CLI classification and marking</t>
  </si>
  <si>
    <t xml:space="preserve">Configure, explain, verify, break, and restore modular qos cli classification and marking on IOS XR.</t>
  </si>
  <si>
    <t xml:space="preserve">Phase 10</t>
  </si>
  <si>
    <t>LAB-107</t>
  </si>
  <si>
    <t xml:space="preserve">Ingress policing and color-aware behavior</t>
  </si>
  <si>
    <t xml:space="preserve">Configure, explain, verify, break, and restore ingress policing and color-aware behavior on IOS XR.</t>
  </si>
  <si>
    <t>LAB-108</t>
  </si>
  <si>
    <t xml:space="preserve">Egress shaping and hierarchical QoS</t>
  </si>
  <si>
    <t xml:space="preserve">Configure, explain, verify, break, and restore egress shaping and hierarchical qos on IOS XR.</t>
  </si>
  <si>
    <t>LAB-109</t>
  </si>
  <si>
    <t xml:space="preserve">Priority queuing and starvation protection</t>
  </si>
  <si>
    <t xml:space="preserve">Configure, explain, verify, break, and restore priority queuing and starvation protection on IOS XR.</t>
  </si>
  <si>
    <t>LAB-110</t>
  </si>
  <si>
    <t xml:space="preserve">WRED and congestion avoidance</t>
  </si>
  <si>
    <t xml:space="preserve">Configure, explain, verify, break, and restore wred and congestion avoidance on IOS XR.</t>
  </si>
  <si>
    <t>LAB-111</t>
  </si>
  <si>
    <t xml:space="preserve">MPLS EXP/TC propagation models</t>
  </si>
  <si>
    <t xml:space="preserve">Configure, explain, verify, break, and restore mpls exp/tc propagation models on IOS XR.</t>
  </si>
  <si>
    <t>LAB-112</t>
  </si>
  <si>
    <t xml:space="preserve">QoS for L3VPN and L2VPN services</t>
  </si>
  <si>
    <t xml:space="preserve">Configure, explain, verify, break, and restore qos for l3vpn and l2vpn services on IOS XR.</t>
  </si>
  <si>
    <t>LAB-113</t>
  </si>
  <si>
    <t xml:space="preserve">Measure loss, delay and queue behavior under load</t>
  </si>
  <si>
    <t xml:space="preserve">Configure, explain, verify, break, and restore measure loss, delay and queue behavior under load on IOS XR.</t>
  </si>
  <si>
    <t>LAB-114</t>
  </si>
  <si>
    <t xml:space="preserve">High Availability &amp; Fast Convergence</t>
  </si>
  <si>
    <t xml:space="preserve">BFD for IGP and BGP</t>
  </si>
  <si>
    <t xml:space="preserve">Configure, explain, verify, break, and restore bfd for igp and bgp on IOS XR.</t>
  </si>
  <si>
    <t xml:space="preserve">Phase 11</t>
  </si>
  <si>
    <t>LAB-115</t>
  </si>
  <si>
    <t xml:space="preserve">IGP fast convergence and SPF/LSP throttling</t>
  </si>
  <si>
    <t xml:space="preserve">Configure, explain, verify, break, and restore igp fast convergence and spf/lsp throttling on IOS XR.</t>
  </si>
  <si>
    <t>LAB-116</t>
  </si>
  <si>
    <t xml:space="preserve">LDP session protection and graceful restart</t>
  </si>
  <si>
    <t xml:space="preserve">Configure, explain, verify, break, and restore ldp session protection and graceful restart on IOS XR.</t>
  </si>
  <si>
    <t>LAB-117</t>
  </si>
  <si>
    <t xml:space="preserve">BGP graceful restart and long-lived GR analysis</t>
  </si>
  <si>
    <t xml:space="preserve">Configure, explain, verify, break, and restore bgp graceful restart and long-lived gr analysis on IOS XR.</t>
  </si>
  <si>
    <t>LAB-118</t>
  </si>
  <si>
    <t xml:space="preserve">NSR and process restart behavior</t>
  </si>
  <si>
    <t xml:space="preserve">Configure, explain, verify, break, and restore nsr and process restart behavior on IOS XR.</t>
  </si>
  <si>
    <t>LAB-119</t>
  </si>
  <si>
    <t xml:space="preserve">MPLS FRR versus TI-LFA comparison</t>
  </si>
  <si>
    <t xml:space="preserve">Configure, explain, verify, break, and restore mpls frr versus ti-lfa comparison on IOS XR.</t>
  </si>
  <si>
    <t>LAB-120</t>
  </si>
  <si>
    <t xml:space="preserve">Node isolation and maintenance workflow</t>
  </si>
  <si>
    <t xml:space="preserve">Configure, explain, verify, break, and restore node isolation and maintenance workflow on IOS XR.</t>
  </si>
  <si>
    <t>LAB-121</t>
  </si>
  <si>
    <t xml:space="preserve">Dual-RR and PE failure convergence measurement</t>
  </si>
  <si>
    <t xml:space="preserve">Configure, explain, verify, break, and restore dual-rr and pe failure convergence measurement on IOS XR.</t>
  </si>
  <si>
    <t>LAB-122</t>
  </si>
  <si>
    <t xml:space="preserve">Security &amp; Infrastructure Protection</t>
  </si>
  <si>
    <t xml:space="preserve">Control Plane Policing baseline</t>
  </si>
  <si>
    <t xml:space="preserve">Configure, explain, verify, break, and restore control plane policing baseline on IOS XR.</t>
  </si>
  <si>
    <t xml:space="preserve">Phase 12</t>
  </si>
  <si>
    <t>LAB-123</t>
  </si>
  <si>
    <t xml:space="preserve">Routing protocol authentication matrix</t>
  </si>
  <si>
    <t xml:space="preserve">Configure, explain, verify, break, and restore routing protocol authentication matrix on IOS XR.</t>
  </si>
  <si>
    <t>LAB-124</t>
  </si>
  <si>
    <t xml:space="preserve">BGP GTSM/TTL security and TCP protection</t>
  </si>
  <si>
    <t xml:space="preserve">Configure, explain, verify, break, and restore bgp gtsm/ttl security and tcp protection on IOS XR.</t>
  </si>
  <si>
    <t>LAB-125</t>
  </si>
  <si>
    <t xml:space="preserve">Infrastructure ACL for management and routing</t>
  </si>
  <si>
    <t xml:space="preserve">Configure, explain, verify, break, and restore infrastructure acl for management and routing on IOS XR.</t>
  </si>
  <si>
    <t>LAB-126</t>
  </si>
  <si>
    <t xml:space="preserve">uRPF strict, loose and feasible modes</t>
  </si>
  <si>
    <t xml:space="preserve">Configure, explain, verify, break, and restore urpf strict, loose and feasible modes on IOS XR.</t>
  </si>
  <si>
    <t>LAB-127</t>
  </si>
  <si>
    <t xml:space="preserve">RTBH and FlowSpec fundamentals</t>
  </si>
  <si>
    <t xml:space="preserve">Configure, explain, verify, break, and restore rtbh and flowspec fundamentals on IOS XR.</t>
  </si>
  <si>
    <t>LAB-128</t>
  </si>
  <si>
    <t xml:space="preserve">MPLS VPN route-leak security checks</t>
  </si>
  <si>
    <t xml:space="preserve">Configure, explain, verify, break, and restore mpls vpn route-leak security checks on IOS XR.</t>
  </si>
  <si>
    <t>LAB-129</t>
  </si>
  <si>
    <t xml:space="preserve">Secure management with AAA roles and logging</t>
  </si>
  <si>
    <t xml:space="preserve">Configure, explain, verify, break, and restore secure management with aaa roles and logging on IOS XR.</t>
  </si>
  <si>
    <t>LAB-130</t>
  </si>
  <si>
    <t xml:space="preserve">Operations, Assurance &amp; Telemetry</t>
  </si>
  <si>
    <t xml:space="preserve">MPLS LSP ping and traceroute</t>
  </si>
  <si>
    <t xml:space="preserve">Configure, explain, verify, break, and restore mpls lsp ping and traceroute on IOS XR.</t>
  </si>
  <si>
    <t xml:space="preserve">Phase 13</t>
  </si>
  <si>
    <t>LAB-131</t>
  </si>
  <si>
    <t xml:space="preserve">L2VPN and EVPN service OAM</t>
  </si>
  <si>
    <t xml:space="preserve">Configure, explain, verify, break, and restore l2vpn and evpn service oam on IOS XR.</t>
  </si>
  <si>
    <t>LAB-132</t>
  </si>
  <si>
    <t xml:space="preserve">IP SLA/TWAMP performance measurement</t>
  </si>
  <si>
    <t xml:space="preserve">Configure, explain, verify, break, and restore ip sla/twamp performance measurement on IOS XR.</t>
  </si>
  <si>
    <t>LAB-133</t>
  </si>
  <si>
    <t xml:space="preserve">Syslog, SNMP and event correlation</t>
  </si>
  <si>
    <t xml:space="preserve">Configure, explain, verify, break, and restore syslog, snmp and event correlation on IOS XR.</t>
  </si>
  <si>
    <t>LAB-134</t>
  </si>
  <si>
    <t xml:space="preserve">Model-driven telemetry subscription</t>
  </si>
  <si>
    <t xml:space="preserve">Configure, explain, verify, break, and restore model-driven telemetry subscription on IOS XR.</t>
  </si>
  <si>
    <t>LAB-135</t>
  </si>
  <si>
    <t xml:space="preserve">NetFlow/IPFIX traffic visibility</t>
  </si>
  <si>
    <t xml:space="preserve">Configure, explain, verify, break, and restore netflow/ipfix traffic visibility on IOS XR.</t>
  </si>
  <si>
    <t>LAB-136</t>
  </si>
  <si>
    <t xml:space="preserve">Packet capture and label-stack interpretation</t>
  </si>
  <si>
    <t xml:space="preserve">Configure, explain, verify, break, and restore packet capture and label-stack interpretation on IOS XR.</t>
  </si>
  <si>
    <t>LAB-137</t>
  </si>
  <si>
    <t xml:space="preserve">Golden-signal baseline and deviation detection</t>
  </si>
  <si>
    <t xml:space="preserve">Configure, explain, verify, break, and restore golden-signal baseline and deviation detection on IOS XR.</t>
  </si>
  <si>
    <t>LAB-138</t>
  </si>
  <si>
    <t xml:space="preserve">Structured multi-layer fault isolation</t>
  </si>
  <si>
    <t xml:space="preserve">Configure, explain, verify, break, and restore structured multi-layer fault isolation on IOS XR.</t>
  </si>
  <si>
    <t>LAB-139</t>
  </si>
  <si>
    <t xml:space="preserve">Maintenance-window precheck/postcheck package</t>
  </si>
  <si>
    <t xml:space="preserve">Configure, explain, verify, break, and restore maintenance-window precheck/postcheck package on IOS XR.</t>
  </si>
  <si>
    <t>LAB-140</t>
  </si>
  <si>
    <t xml:space="preserve">Automation &amp; Programmability</t>
  </si>
  <si>
    <t xml:space="preserve">NETCONF and YANG model exploration</t>
  </si>
  <si>
    <t xml:space="preserve">Configure, explain, verify, break, and restore netconf and yang model exploration on IOS XR.</t>
  </si>
  <si>
    <t xml:space="preserve">Phase 14</t>
  </si>
  <si>
    <t>LAB-141</t>
  </si>
  <si>
    <t xml:space="preserve">RESTCONF API operations</t>
  </si>
  <si>
    <t xml:space="preserve">Configure, explain, verify, break, and restore restconf api operations on IOS XR.</t>
  </si>
  <si>
    <t>LAB-142</t>
  </si>
  <si>
    <t xml:space="preserve">gNMI/gRPC telemetry workflow</t>
  </si>
  <si>
    <t xml:space="preserve">Configure, explain, verify, break, and restore gnmi/grpc telemetry workflow on IOS XR.</t>
  </si>
  <si>
    <t>LAB-143</t>
  </si>
  <si>
    <t xml:space="preserve">Python inventory and show-command collection</t>
  </si>
  <si>
    <t xml:space="preserve">Configure, explain, verify, break, and restore python inventory and show-command collection on IOS XR.</t>
  </si>
  <si>
    <t>LAB-144</t>
  </si>
  <si>
    <t xml:space="preserve">Jinja2 configuration generation</t>
  </si>
  <si>
    <t xml:space="preserve">Configure, explain, verify, break, and restore jinja2 configuration generation on IOS XR.</t>
  </si>
  <si>
    <t>LAB-145</t>
  </si>
  <si>
    <t xml:space="preserve">Ansible idempotent IOS XR deployment</t>
  </si>
  <si>
    <t xml:space="preserve">Configure, explain, verify, break, and restore ansible idempotent ios xr deployment on IOS XR.</t>
  </si>
  <si>
    <t>LAB-146</t>
  </si>
  <si>
    <t xml:space="preserve">Precheck/postcheck automated validation</t>
  </si>
  <si>
    <t xml:space="preserve">Configure, explain, verify, break, and restore precheck/postcheck automated validation on IOS XR.</t>
  </si>
  <si>
    <t>LAB-147</t>
  </si>
  <si>
    <t xml:space="preserve">Configuration diff and rollback automation</t>
  </si>
  <si>
    <t xml:space="preserve">Configure, explain, verify, break, and restore configuration diff and rollback automation on IOS XR.</t>
  </si>
  <si>
    <t>LAB-148</t>
  </si>
  <si>
    <t xml:space="preserve">Source-of-truth driven service provisioning</t>
  </si>
  <si>
    <t xml:space="preserve">Configure, explain, verify, break, and restore source-of-truth driven service provisioning on IOS XR.</t>
  </si>
  <si>
    <t>LAB-149</t>
  </si>
  <si>
    <t xml:space="preserve">CI pipeline lint, test and staged deployment</t>
  </si>
  <si>
    <t xml:space="preserve">Configure, explain, verify, break, and restore ci pipeline lint, test and staged deployment on IOS XR.</t>
  </si>
  <si>
    <t>LAB-150</t>
  </si>
  <si>
    <t xml:space="preserve">Design, Migration &amp; Expert Integration</t>
  </si>
  <si>
    <t xml:space="preserve">Greenfield dual-stack SR-MPLS core build</t>
  </si>
  <si>
    <t xml:space="preserve">Configure, explain, verify, break, and restore greenfield dual-stack sr-mpls core build on IOS XR.</t>
  </si>
  <si>
    <t xml:space="preserve">8–12 mixed-role nodes</t>
  </si>
  <si>
    <t>Critical</t>
  </si>
  <si>
    <t xml:space="preserve">Phase 15</t>
  </si>
  <si>
    <t>LAB-151</t>
  </si>
  <si>
    <t xml:space="preserve">Brownfield LDP to SR-MPLS migration</t>
  </si>
  <si>
    <t xml:space="preserve">Configure, explain, verify, break, and restore brownfield ldp to sr-mpls migration on IOS XR.</t>
  </si>
  <si>
    <t>LAB-152</t>
  </si>
  <si>
    <t xml:space="preserve">RSVP-TE to SR-TE migration</t>
  </si>
  <si>
    <t xml:space="preserve">Configure, explain, verify, break, and restore rsvp-te to sr-te migration on IOS XR.</t>
  </si>
  <si>
    <t>LAB-153</t>
  </si>
  <si>
    <t xml:space="preserve">L3VPN and EVPN shared-core integration</t>
  </si>
  <si>
    <t xml:space="preserve">Configure, explain, verify, break, and restore l3vpn and evpn shared-core integration on IOS XR.</t>
  </si>
  <si>
    <t>LAB-154</t>
  </si>
  <si>
    <t xml:space="preserve">Inter-AS VPN service expansion</t>
  </si>
  <si>
    <t xml:space="preserve">Configure, explain, verify, break, and restore inter-as vpn service expansion on IOS XR.</t>
  </si>
  <si>
    <t>LAB-155</t>
  </si>
  <si>
    <t xml:space="preserve">Multi-domain BGP-LU service transport</t>
  </si>
  <si>
    <t xml:space="preserve">Configure, explain, verify, break, and restore multi-domain bgp-lu service transport on IOS XR.</t>
  </si>
  <si>
    <t>LAB-156</t>
  </si>
  <si>
    <t xml:space="preserve">Capacity and failure-domain design review</t>
  </si>
  <si>
    <t xml:space="preserve">Configure, explain, verify, break, and restore capacity and failure-domain design review on IOS XR.</t>
  </si>
  <si>
    <t>LAB-157</t>
  </si>
  <si>
    <t xml:space="preserve">Timed fault set: IGP + MPLS + BGP</t>
  </si>
  <si>
    <t xml:space="preserve">Configure, explain, verify, break, and restore timed fault set: igp + mpls + bgp on IOS XR.</t>
  </si>
  <si>
    <t>LAB-158</t>
  </si>
  <si>
    <t xml:space="preserve">Timed fault set: L3VPN + policy + QoS</t>
  </si>
  <si>
    <t xml:space="preserve">Configure, explain, verify, break, and restore timed fault set: l3vpn + policy + qos on IOS XR.</t>
  </si>
  <si>
    <t>LAB-159</t>
  </si>
  <si>
    <t xml:space="preserve">Timed fault set: EVPN + multihoming + OAM</t>
  </si>
  <si>
    <t xml:space="preserve">Configure, explain, verify, break, and restore timed fault set: evpn + multihoming + oam on IOS XR.</t>
  </si>
  <si>
    <t>LAB-160</t>
  </si>
  <si>
    <t xml:space="preserve">Change plan with rollback and blast-radius defense</t>
  </si>
  <si>
    <t xml:space="preserve">Configure, explain, verify, break, and restore change plan with rollback and blast-radius defense on IOS XR.</t>
  </si>
  <si>
    <t>LAB-161</t>
  </si>
  <si>
    <t xml:space="preserve">Eight-hour mock lab: plan/design + deploy/operate/optimize</t>
  </si>
  <si>
    <t xml:space="preserve">Configure, explain, verify, break, and restore eight-hour mock lab: plan/design + deploy/operate/optimize on IOS XR.</t>
  </si>
  <si>
    <t xml:space="preserve">Capstones &amp; Timed Milestones</t>
  </si>
  <si>
    <t xml:space="preserve">Attempt only after the prerequisite phases meet their exit gates</t>
  </si>
  <si>
    <t>ID</t>
  </si>
  <si>
    <t>Name</t>
  </si>
  <si>
    <t xml:space="preserve">Prerequisite Phases</t>
  </si>
  <si>
    <t>Scenario</t>
  </si>
  <si>
    <t>Nodes</t>
  </si>
  <si>
    <t>Timebox</t>
  </si>
  <si>
    <t xml:space="preserve">Notes / Gap</t>
  </si>
  <si>
    <t>CAP-01</t>
  </si>
  <si>
    <t xml:space="preserve">Core Bring-up</t>
  </si>
  <si>
    <t>1–3</t>
  </si>
  <si>
    <t xml:space="preserve">Build dual-stack IS-IS + RR-based BGP core from blank</t>
  </si>
  <si>
    <t>Untimed</t>
  </si>
  <si>
    <t xml:space="preserve">Core reachability, policy, evidence pack</t>
  </si>
  <si>
    <t>CAP-02</t>
  </si>
  <si>
    <t xml:space="preserve">MPLS Transport</t>
  </si>
  <si>
    <t>2–5</t>
  </si>
  <si>
    <t xml:space="preserve">Run LDP, RSVP-TE and SR-MPLS transports; compare forwarding and failure behavior</t>
  </si>
  <si>
    <t>8</t>
  </si>
  <si>
    <t xml:space="preserve">Label trace, TE path, failure comparison</t>
  </si>
  <si>
    <t>CAP-03</t>
  </si>
  <si>
    <t xml:space="preserve">L3VPN Provider</t>
  </si>
  <si>
    <t>3–6</t>
  </si>
  <si>
    <t xml:space="preserve">Deploy dual-stack L3VPN with diverse PE-CE and selective leaking</t>
  </si>
  <si>
    <t xml:space="preserve">6 hours</t>
  </si>
  <si>
    <t xml:space="preserve">Service matrix, route/label trace, rollback</t>
  </si>
  <si>
    <t>CAP-04</t>
  </si>
  <si>
    <t xml:space="preserve">EVPN Metro</t>
  </si>
  <si>
    <t>3,5,7,11</t>
  </si>
  <si>
    <t xml:space="preserve">Deploy EVPN E-LAN/VPWS with all-active multihoming and convergence tests</t>
  </si>
  <si>
    <t xml:space="preserve">EVPN route proof, DF/failover timing, OAM</t>
  </si>
  <si>
    <t>CAP-05</t>
  </si>
  <si>
    <t xml:space="preserve">mVPN + QoS</t>
  </si>
  <si>
    <t>6,8,10</t>
  </si>
  <si>
    <t xml:space="preserve">Deliver multicast VPN with measurable QoS under congestion</t>
  </si>
  <si>
    <t xml:space="preserve">5 hours</t>
  </si>
  <si>
    <t xml:space="preserve">Tree/RPF proof, loss/queue measurements</t>
  </si>
  <si>
    <t>CAP-06</t>
  </si>
  <si>
    <t xml:space="preserve">Secure Operations</t>
  </si>
  <si>
    <t>11–14</t>
  </si>
  <si>
    <t xml:space="preserve">Harden, instrument and automate a brownfield service network</t>
  </si>
  <si>
    <t xml:space="preserve">Change plan, telemetry, compliance and rollback</t>
  </si>
  <si>
    <t>CAP-07</t>
  </si>
  <si>
    <t xml:space="preserve">Mixed Fault Marathon</t>
  </si>
  <si>
    <t>All</t>
  </si>
  <si>
    <t xml:space="preserve">Diagnose 12 seeded faults spanning underlay, transport, VPN, QoS and security</t>
  </si>
  <si>
    <t>10</t>
  </si>
  <si>
    <t xml:space="preserve">8 hours</t>
  </si>
  <si>
    <t xml:space="preserve">Hypothesis/evidence log and minimal fixes</t>
  </si>
  <si>
    <t>CAP-08</t>
  </si>
  <si>
    <t xml:space="preserve">Full CCIE-SP Simulation</t>
  </si>
  <si>
    <t xml:space="preserve">Plan/design, deploy, operate and optimize a complex dual-stack SP network</t>
  </si>
  <si>
    <t>12</t>
  </si>
  <si>
    <t xml:space="preserve">Score sheet, evidence package and gap backlog</t>
  </si>
  <si>
    <t xml:space="preserve">Sources &amp; Scope Notes</t>
  </si>
  <si>
    <t xml:space="preserve">Official Cisco references used to anchor the current certification scope; roadmap intentionally extends beyond the exam</t>
  </si>
  <si>
    <t>Source</t>
  </si>
  <si>
    <t>URL</t>
  </si>
  <si>
    <t xml:space="preserve">Used For</t>
  </si>
  <si>
    <t xml:space="preserve">Scope Note</t>
  </si>
  <si>
    <t xml:space="preserve">CCIE Service Provider v5.1 Practical Exam Topics</t>
  </si>
  <si>
    <t>https://learningnetwork.cisco.com/s/ccie-service-provider-exam-topics</t>
  </si>
  <si>
    <t xml:space="preserve">Current practical-domain alignment</t>
  </si>
  <si>
    <t xml:space="preserve">Core routing; architectures/services; access; convergence; security/assurance/automation</t>
  </si>
  <si>
    <t xml:space="preserve">CCIE Service Provider exams and training</t>
  </si>
  <si>
    <t>https://www.cisco.com/site/us/en/learn/training-certifications/certifications/service-provider/ccie-service-provider/exams-and-training.html</t>
  </si>
  <si>
    <t xml:space="preserve">Current exam intent and lifecycle</t>
  </si>
  <si>
    <t xml:space="preserve">Plan, design, implement, operate, and optimize dual-stack SP networks</t>
  </si>
  <si>
    <t xml:space="preserve">CCIE Service Provider v5.1 equipment/software list</t>
  </si>
  <si>
    <t>https://learningnetwork.cisco.com/s/article/ccie-service-provider-v5-0-equipment-and-software-list</t>
  </si>
  <si>
    <t xml:space="preserve">Platform awareness</t>
  </si>
  <si>
    <t xml:space="preserve">Exact feature support depends on the lab image/release</t>
  </si>
  <si>
    <t xml:space="preserve">Cisco IOS XR configuration guides</t>
  </si>
  <si>
    <t>https://www.cisco.com/c/en/us/support/ios-nx-os-software/ios-xr-software/products-installation-and-configuration-guides-list.html</t>
  </si>
  <si>
    <t xml:space="preserve">Implementation reference</t>
  </si>
  <si>
    <t xml:space="preserve">Use release-matched guides while executing each lab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</si>
</sst>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>
    <font>
      <sz val="11.000000"/>
      <name val="Carlito"/>
    </font>
    <font>
      <b/>
      <sz val="20.000000"/>
      <color indexed="65"/>
      <name val="Carlito"/>
    </font>
    <font>
      <i/>
      <sz val="10.000000"/>
      <color rgb="FF0B1F3A"/>
      <name val="Carlito"/>
    </font>
    <font>
      <b/>
      <sz val="11.000000"/>
      <color indexed="65"/>
      <name val="Carlito"/>
    </font>
    <font>
      <sz val="10.000000"/>
      <color rgb="FF172033"/>
      <name val="Carlito"/>
    </font>
    <font>
      <b/>
      <sz val="10.000000"/>
      <color rgb="FF0B1F3A"/>
      <name val="Carlito"/>
    </font>
    <font>
      <b/>
      <sz val="12.000000"/>
      <color rgb="FF0B1F3A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DFF3FF"/>
      </patternFill>
    </fill>
    <fill>
      <patternFill patternType="solid">
        <fgColor rgb="FF1464F4"/>
      </patternFill>
    </fill>
    <fill>
      <patternFill patternType="solid">
        <fgColor rgb="FFF4F7FB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7ECF3"/>
      </bottom>
      <diagonal style="none"/>
    </border>
    <border>
      <left style="none"/>
      <right style="none"/>
      <top style="thin">
        <color rgb="FFE7ECF3"/>
      </top>
      <bottom style="thin">
        <color rgb="FFE7ECF3"/>
      </bottom>
      <diagonal style="none"/>
    </border>
    <border>
      <left style="none"/>
      <right style="none"/>
      <top style="thin">
        <color rgb="FFE7ECF3"/>
      </top>
      <bottom style="none"/>
      <diagonal style="none"/>
    </border>
    <border>
      <left style="thin">
        <color rgb="FFD4DCE8"/>
      </left>
      <right style="none"/>
      <top style="thin">
        <color rgb="FFD4DCE8"/>
      </top>
      <bottom style="thin">
        <color rgb="FFD4DCE8"/>
      </bottom>
      <diagonal style="none"/>
    </border>
    <border>
      <left style="none"/>
      <right style="none"/>
      <top style="thin">
        <color rgb="FFD4DCE8"/>
      </top>
      <bottom style="thin">
        <color rgb="FFD4DCE8"/>
      </bottom>
      <diagonal style="none"/>
    </border>
    <border>
      <left style="none"/>
      <right style="thin">
        <color rgb="FFD4DCE8"/>
      </right>
      <top style="thin">
        <color rgb="FFD4DCE8"/>
      </top>
      <bottom style="thin">
        <color rgb="FFD4DCE8"/>
      </bottom>
      <diagonal style="none"/>
    </border>
    <border>
      <left style="thin">
        <color rgb="FFD4DCE8"/>
      </left>
      <right style="none"/>
      <top style="thin">
        <color rgb="FFD4DCE8"/>
      </top>
      <bottom style="none"/>
      <diagonal style="none"/>
    </border>
    <border>
      <left style="none"/>
      <right style="thin">
        <color rgb="FFD4DCE8"/>
      </right>
      <top style="thin">
        <color rgb="FFD4DCE8"/>
      </top>
      <bottom style="none"/>
      <diagonal style="none"/>
    </border>
    <border>
      <left style="thin">
        <color rgb="FFD4DCE8"/>
      </left>
      <right style="none"/>
      <top style="none"/>
      <bottom style="none"/>
      <diagonal style="none"/>
    </border>
    <border>
      <left style="none"/>
      <right style="thin">
        <color rgb="FFD4DCE8"/>
      </right>
      <top style="none"/>
      <bottom style="none"/>
      <diagonal style="none"/>
    </border>
    <border>
      <left style="thin">
        <color rgb="FFD4DCE8"/>
      </left>
      <right style="none"/>
      <top style="none"/>
      <bottom style="thin">
        <color rgb="FFD4DCE8"/>
      </bottom>
      <diagonal style="none"/>
    </border>
    <border>
      <left style="none"/>
      <right style="thin">
        <color rgb="FFD4DCE8"/>
      </right>
      <top style="none"/>
      <bottom style="thin">
        <color rgb="FFD4DCE8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29">
    <xf fontId="0" fillId="0" borderId="0" numFmtId="0" xfId="0"/>
    <xf fontId="1" fillId="2" borderId="0" numFmtId="0" xfId="0" applyFont="1" applyFill="1" applyAlignment="1">
      <alignment vertical="top"/>
    </xf>
    <xf fontId="2" fillId="3" borderId="0" numFmtId="0" xfId="0" applyFont="1" applyFill="1" applyAlignment="1">
      <alignment vertical="top" wrapText="1"/>
    </xf>
    <xf fontId="0" fillId="0" borderId="0" numFmtId="0" xfId="0" applyAlignment="1">
      <alignment vertical="top"/>
    </xf>
    <xf fontId="3" fillId="2" borderId="0" numFmtId="0" xfId="0" applyFont="1" applyFill="1" applyAlignment="1">
      <alignment vertical="top"/>
    </xf>
    <xf fontId="4" fillId="0" borderId="1" numFmtId="0" xfId="0" applyFont="1" applyBorder="1" applyAlignment="1">
      <alignment vertical="top" wrapText="1"/>
    </xf>
    <xf fontId="4" fillId="0" borderId="2" numFmtId="0" xfId="0" applyFont="1" applyBorder="1" applyAlignment="1">
      <alignment vertical="top" wrapText="1"/>
    </xf>
    <xf fontId="4" fillId="0" borderId="3" numFmtId="0" xfId="0" applyFont="1" applyBorder="1" applyAlignment="1">
      <alignment vertical="top" wrapText="1"/>
    </xf>
    <xf fontId="3" fillId="4" borderId="4" numFmtId="0" xfId="0" applyFont="1" applyFill="1" applyBorder="1" applyAlignment="1">
      <alignment vertical="top" wrapText="1"/>
    </xf>
    <xf fontId="3" fillId="4" borderId="5" numFmtId="0" xfId="0" applyFont="1" applyFill="1" applyBorder="1" applyAlignment="1">
      <alignment vertical="top" wrapText="1"/>
    </xf>
    <xf fontId="3" fillId="4" borderId="6" numFmtId="0" xfId="0" applyFont="1" applyFill="1" applyBorder="1" applyAlignment="1">
      <alignment vertical="top" wrapText="1"/>
    </xf>
    <xf fontId="5" fillId="0" borderId="1" numFmtId="0" xfId="0" applyFont="1" applyBorder="1" applyAlignment="1">
      <alignment vertical="top" wrapText="1"/>
    </xf>
    <xf fontId="5" fillId="0" borderId="2" numFmtId="0" xfId="0" applyFont="1" applyBorder="1" applyAlignment="1">
      <alignment vertical="top" wrapText="1"/>
    </xf>
    <xf fontId="5" fillId="0" borderId="3" numFmtId="0" xfId="0" applyFont="1" applyBorder="1" applyAlignment="1">
      <alignment vertical="top" wrapText="1"/>
    </xf>
    <xf fontId="6" fillId="5" borderId="7" numFmtId="0" xfId="0" applyFont="1" applyFill="1" applyBorder="1" applyAlignment="1">
      <alignment vertical="top"/>
    </xf>
    <xf fontId="6" fillId="5" borderId="8" numFmtId="0" xfId="0" applyFont="1" applyFill="1" applyBorder="1" applyAlignment="1">
      <alignment vertical="top"/>
    </xf>
    <xf fontId="4" fillId="0" borderId="1" numFmtId="9" xfId="0" applyNumberFormat="1" applyFont="1" applyBorder="1" applyAlignment="1">
      <alignment vertical="top" wrapText="1"/>
    </xf>
    <xf fontId="6" fillId="5" borderId="9" numFmtId="0" xfId="0" applyFont="1" applyFill="1" applyBorder="1" applyAlignment="1">
      <alignment vertical="top"/>
    </xf>
    <xf fontId="6" fillId="5" borderId="10" numFmtId="0" xfId="0" applyFont="1" applyFill="1" applyBorder="1" applyAlignment="1">
      <alignment vertical="top"/>
    </xf>
    <xf fontId="4" fillId="0" borderId="2" numFmtId="9" xfId="0" applyNumberFormat="1" applyFont="1" applyBorder="1" applyAlignment="1">
      <alignment vertical="top" wrapText="1"/>
    </xf>
    <xf fontId="6" fillId="5" borderId="11" numFmtId="0" xfId="0" applyFont="1" applyFill="1" applyBorder="1" applyAlignment="1">
      <alignment vertical="top"/>
    </xf>
    <xf fontId="6" fillId="5" borderId="12" numFmtId="9" xfId="0" applyNumberFormat="1" applyFont="1" applyFill="1" applyBorder="1" applyAlignment="1">
      <alignment vertical="top"/>
    </xf>
    <xf fontId="4" fillId="0" borderId="3" numFmtId="9" xfId="0" applyNumberFormat="1" applyFont="1" applyBorder="1" applyAlignment="1">
      <alignment vertical="top" wrapText="1"/>
    </xf>
    <xf fontId="4" fillId="0" borderId="1" numFmtId="0" xfId="0" applyFont="1" applyBorder="1" applyAlignment="1">
      <alignment horizontal="center" vertical="top" wrapText="1"/>
    </xf>
    <xf fontId="4" fillId="0" borderId="1" numFmtId="164" xfId="0" applyNumberFormat="1" applyFont="1" applyBorder="1" applyAlignment="1">
      <alignment vertical="top" wrapText="1"/>
    </xf>
    <xf fontId="4" fillId="0" borderId="2" numFmtId="0" xfId="0" applyFont="1" applyBorder="1" applyAlignment="1">
      <alignment horizontal="center" vertical="top" wrapText="1"/>
    </xf>
    <xf fontId="4" fillId="0" borderId="2" numFmtId="164" xfId="0" applyNumberFormat="1" applyFont="1" applyBorder="1" applyAlignment="1">
      <alignment vertical="top" wrapText="1"/>
    </xf>
    <xf fontId="4" fillId="0" borderId="3" numFmtId="0" xfId="0" applyFont="1" applyBorder="1" applyAlignment="1">
      <alignment horizontal="center" vertical="top" wrapText="1"/>
    </xf>
    <xf fontId="4" fillId="0" borderId="3" numFmtId="164" xfId="0" applyNumberFormat="1" applyFont="1" applyBorder="1" applyAlignment="1">
      <alignment vertical="top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CCIESPLabs" ref="A4:Q165" headerRowCount="1" totalsRowCount="0">
  <autoFilter ref="A4:Q165"/>
  <tableColumns count="17">
    <tableColumn id="1" name="Lab ID"/>
    <tableColumn id="2" name="Phase #"/>
    <tableColumn id="3" name="Phase / Domain"/>
    <tableColumn id="4" name="Lab / Scenario"/>
    <tableColumn id="5" name="Mastery Outcome"/>
    <tableColumn id="6" name="Suggested Topology"/>
    <tableColumn id="7" name="Est. Hours"/>
    <tableColumn id="8" name="Difficulty"/>
    <tableColumn id="9" name="Priority"/>
    <tableColumn id="10" name="Dependency"/>
    <tableColumn id="11" name="Status"/>
    <tableColumn id="12" name="Confidence (0–5)"/>
    <tableColumn id="13" name="Evidence Link/Folder"/>
    <tableColumn id="14" name="Completed Date"/>
    <tableColumn id="15" name="Required Evidence"/>
    <tableColumn id="16" name="Notes/Gap"/>
    <tableColumn id="17" name="Track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24"/>
    <col customWidth="1" min="2" max="2" width="64"/>
    <col customWidth="1" min="3" max="8" width="15"/>
  </cols>
  <sheetData>
    <row r="1" ht="34" customHeight="1">
      <c r="A1" s="1" t="s">
        <v>0</v>
      </c>
      <c r="B1" s="1"/>
      <c r="C1" s="1"/>
      <c r="D1" s="1"/>
      <c r="E1" s="1"/>
      <c r="F1" s="1"/>
      <c r="G1" s="1"/>
      <c r="H1" s="1"/>
    </row>
    <row r="2" ht="30" customHeight="1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>
      <c r="A3" s="3"/>
      <c r="B3" s="3"/>
      <c r="C3" s="3"/>
      <c r="D3" s="3"/>
      <c r="E3" s="3"/>
      <c r="F3" s="3"/>
      <c r="G3" s="3"/>
      <c r="H3" s="3"/>
    </row>
    <row r="4">
      <c r="A4" s="4" t="s">
        <v>2</v>
      </c>
      <c r="B4" s="4"/>
      <c r="C4" s="3"/>
      <c r="D4" s="3"/>
      <c r="E4" s="3"/>
      <c r="F4" s="3"/>
      <c r="G4" s="3"/>
      <c r="H4" s="3"/>
    </row>
    <row r="5">
      <c r="A5" s="5" t="s">
        <v>3</v>
      </c>
      <c r="B5" s="5" t="s">
        <v>4</v>
      </c>
      <c r="C5" s="3"/>
      <c r="D5" s="3"/>
      <c r="E5" s="3"/>
      <c r="F5" s="3"/>
      <c r="G5" s="3"/>
      <c r="H5" s="3"/>
    </row>
    <row r="6">
      <c r="A6" s="6" t="s">
        <v>5</v>
      </c>
      <c r="B6" s="6" t="s">
        <v>6</v>
      </c>
      <c r="C6" s="3"/>
      <c r="D6" s="3"/>
      <c r="E6" s="3"/>
      <c r="F6" s="3"/>
      <c r="G6" s="3"/>
      <c r="H6" s="3"/>
    </row>
    <row r="7">
      <c r="A7" s="6" t="s">
        <v>7</v>
      </c>
      <c r="B7" s="6" t="s">
        <v>8</v>
      </c>
      <c r="C7" s="3"/>
      <c r="D7" s="3"/>
      <c r="E7" s="3"/>
      <c r="F7" s="3"/>
      <c r="G7" s="3"/>
      <c r="H7" s="3"/>
    </row>
    <row r="8">
      <c r="A8" s="6" t="s">
        <v>9</v>
      </c>
      <c r="B8" s="6" t="s">
        <v>10</v>
      </c>
      <c r="C8" s="3"/>
      <c r="D8" s="3"/>
      <c r="E8" s="3"/>
      <c r="F8" s="3"/>
      <c r="G8" s="3"/>
      <c r="H8" s="3"/>
    </row>
    <row r="9">
      <c r="A9" s="6" t="s">
        <v>11</v>
      </c>
      <c r="B9" s="6" t="s">
        <v>12</v>
      </c>
      <c r="C9" s="3"/>
      <c r="D9" s="3"/>
      <c r="E9" s="3"/>
      <c r="F9" s="3"/>
      <c r="G9" s="3"/>
      <c r="H9" s="3"/>
    </row>
    <row r="10">
      <c r="A10" s="6" t="s">
        <v>13</v>
      </c>
      <c r="B10" s="6" t="s">
        <v>14</v>
      </c>
      <c r="C10" s="3"/>
      <c r="D10" s="3"/>
      <c r="E10" s="3"/>
      <c r="F10" s="3"/>
      <c r="G10" s="3"/>
      <c r="H10" s="3"/>
    </row>
    <row r="11">
      <c r="A11" s="7" t="s">
        <v>15</v>
      </c>
      <c r="B11" s="7" t="s">
        <v>16</v>
      </c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 ht="30" customHeight="1">
      <c r="A13" s="8" t="s">
        <v>17</v>
      </c>
      <c r="B13" s="9" t="s">
        <v>18</v>
      </c>
      <c r="C13" s="9" t="s">
        <v>19</v>
      </c>
      <c r="D13" s="10" t="s">
        <v>20</v>
      </c>
      <c r="E13" s="3"/>
      <c r="F13" s="3"/>
      <c r="G13" s="3"/>
      <c r="H13" s="3"/>
    </row>
    <row r="14">
      <c r="A14" s="5" t="s">
        <v>21</v>
      </c>
      <c r="B14" s="5" t="s">
        <v>22</v>
      </c>
      <c r="C14" s="5" t="s">
        <v>23</v>
      </c>
      <c r="D14" s="5" t="s">
        <v>24</v>
      </c>
      <c r="E14" s="3"/>
      <c r="F14" s="3"/>
      <c r="G14" s="3"/>
      <c r="H14" s="3"/>
    </row>
    <row r="15">
      <c r="A15" s="6" t="s">
        <v>25</v>
      </c>
      <c r="B15" s="6" t="s">
        <v>26</v>
      </c>
      <c r="C15" s="6" t="s">
        <v>27</v>
      </c>
      <c r="D15" s="6" t="s">
        <v>24</v>
      </c>
      <c r="E15" s="3"/>
      <c r="F15" s="3"/>
      <c r="G15" s="3"/>
      <c r="H15" s="3"/>
    </row>
    <row r="16">
      <c r="A16" s="6" t="s">
        <v>28</v>
      </c>
      <c r="B16" s="6" t="s">
        <v>29</v>
      </c>
      <c r="C16" s="6" t="s">
        <v>30</v>
      </c>
      <c r="D16" s="6" t="s">
        <v>24</v>
      </c>
      <c r="E16" s="3"/>
      <c r="F16" s="3"/>
      <c r="G16" s="3"/>
      <c r="H16" s="3"/>
    </row>
    <row r="17">
      <c r="A17" s="6" t="s">
        <v>31</v>
      </c>
      <c r="B17" s="6" t="s">
        <v>32</v>
      </c>
      <c r="C17" s="6" t="s">
        <v>7</v>
      </c>
      <c r="D17" s="6" t="s">
        <v>24</v>
      </c>
      <c r="E17" s="3"/>
      <c r="F17" s="3"/>
      <c r="G17" s="3"/>
      <c r="H17" s="3"/>
    </row>
    <row r="18">
      <c r="A18" s="6" t="s">
        <v>33</v>
      </c>
      <c r="B18" s="6" t="s">
        <v>34</v>
      </c>
      <c r="C18" s="6" t="s">
        <v>35</v>
      </c>
      <c r="D18" s="6" t="s">
        <v>36</v>
      </c>
      <c r="E18" s="3"/>
      <c r="F18" s="3"/>
      <c r="G18" s="3"/>
      <c r="H18" s="3"/>
    </row>
    <row r="19">
      <c r="A19" s="7" t="s">
        <v>37</v>
      </c>
      <c r="B19" s="7" t="s">
        <v>38</v>
      </c>
      <c r="C19" s="7" t="s">
        <v>27</v>
      </c>
      <c r="D19" s="7" t="s">
        <v>39</v>
      </c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4" t="s">
        <v>40</v>
      </c>
      <c r="B21" s="3"/>
      <c r="C21" s="3"/>
      <c r="D21" s="3"/>
      <c r="E21" s="3"/>
      <c r="F21" s="3"/>
      <c r="G21" s="3"/>
      <c r="H21" s="3"/>
    </row>
    <row r="22">
      <c r="A22" s="11" t="s">
        <v>41</v>
      </c>
      <c r="B22" s="5" t="s">
        <v>42</v>
      </c>
      <c r="C22" s="5"/>
      <c r="D22" s="5"/>
      <c r="E22" s="5"/>
      <c r="F22" s="5"/>
      <c r="G22" s="5"/>
      <c r="H22" s="5"/>
    </row>
    <row r="23">
      <c r="A23" s="12" t="s">
        <v>43</v>
      </c>
      <c r="B23" s="6" t="s">
        <v>44</v>
      </c>
      <c r="C23" s="6"/>
      <c r="D23" s="6"/>
      <c r="E23" s="6"/>
      <c r="F23" s="6"/>
      <c r="G23" s="6"/>
      <c r="H23" s="6"/>
    </row>
    <row r="24">
      <c r="A24" s="12" t="s">
        <v>45</v>
      </c>
      <c r="B24" s="6" t="s">
        <v>46</v>
      </c>
      <c r="C24" s="6"/>
      <c r="D24" s="6"/>
      <c r="E24" s="6"/>
      <c r="F24" s="6"/>
      <c r="G24" s="6"/>
      <c r="H24" s="6"/>
    </row>
    <row r="25">
      <c r="A25" s="12" t="s">
        <v>47</v>
      </c>
      <c r="B25" s="6" t="s">
        <v>48</v>
      </c>
      <c r="C25" s="6"/>
      <c r="D25" s="6"/>
      <c r="E25" s="6"/>
      <c r="F25" s="6"/>
      <c r="G25" s="6"/>
      <c r="H25" s="6"/>
    </row>
    <row r="26">
      <c r="A26" s="12" t="s">
        <v>49</v>
      </c>
      <c r="B26" s="6" t="s">
        <v>50</v>
      </c>
      <c r="C26" s="6"/>
      <c r="D26" s="6"/>
      <c r="E26" s="6"/>
      <c r="F26" s="6"/>
      <c r="G26" s="6"/>
      <c r="H26" s="6"/>
    </row>
    <row r="27">
      <c r="A27" s="12" t="s">
        <v>51</v>
      </c>
      <c r="B27" s="6" t="s">
        <v>52</v>
      </c>
      <c r="C27" s="6"/>
      <c r="D27" s="6"/>
      <c r="E27" s="6"/>
      <c r="F27" s="6"/>
      <c r="G27" s="6"/>
      <c r="H27" s="6"/>
    </row>
    <row r="28">
      <c r="A28" s="13" t="s">
        <v>53</v>
      </c>
      <c r="B28" s="7" t="s">
        <v>54</v>
      </c>
      <c r="C28" s="7"/>
      <c r="D28" s="7"/>
      <c r="E28" s="7"/>
      <c r="F28" s="7"/>
      <c r="G28" s="7"/>
      <c r="H28" s="7"/>
    </row>
  </sheetData>
  <mergeCells count="3">
    <mergeCell ref="A1:H1"/>
    <mergeCell ref="A2:H2"/>
    <mergeCell ref="A21:H2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29"/>
    <col customWidth="1" min="2" max="2" width="45"/>
    <col customWidth="1" min="4" max="4" width="36"/>
    <col customWidth="1" min="5" max="8" width="13"/>
  </cols>
  <sheetData>
    <row r="1" ht="34" customHeight="1">
      <c r="A1" s="1" t="s">
        <v>55</v>
      </c>
      <c r="B1" s="1"/>
      <c r="C1" s="1"/>
      <c r="D1" s="1"/>
      <c r="E1" s="1"/>
      <c r="F1" s="1"/>
      <c r="G1" s="1"/>
      <c r="H1" s="1"/>
    </row>
    <row r="2" ht="30" customHeight="1">
      <c r="A2" s="2" t="s">
        <v>56</v>
      </c>
      <c r="B2" s="2" t="s">
        <v>56</v>
      </c>
      <c r="C2" s="2" t="s">
        <v>56</v>
      </c>
      <c r="D2" s="2" t="s">
        <v>56</v>
      </c>
      <c r="E2" s="2" t="s">
        <v>56</v>
      </c>
      <c r="F2" s="2" t="s">
        <v>56</v>
      </c>
      <c r="G2" s="2" t="s">
        <v>56</v>
      </c>
      <c r="H2" s="2" t="s">
        <v>56</v>
      </c>
    </row>
    <row r="3">
      <c r="A3" s="3"/>
      <c r="B3" s="3"/>
      <c r="C3" s="3"/>
      <c r="D3" s="3"/>
      <c r="E3" s="3"/>
      <c r="F3" s="3"/>
      <c r="G3" s="3"/>
      <c r="H3" s="3"/>
    </row>
    <row r="4" ht="30" customHeight="1">
      <c r="A4" s="8" t="s">
        <v>57</v>
      </c>
      <c r="B4" s="10" t="s">
        <v>58</v>
      </c>
      <c r="C4" s="3"/>
      <c r="D4" s="8" t="s">
        <v>59</v>
      </c>
      <c r="E4" s="9" t="s">
        <v>60</v>
      </c>
      <c r="F4" s="9" t="s">
        <v>33</v>
      </c>
      <c r="G4" s="9" t="s">
        <v>61</v>
      </c>
      <c r="H4" s="10" t="s">
        <v>62</v>
      </c>
    </row>
    <row r="5">
      <c r="A5" s="14" t="s">
        <v>63</v>
      </c>
      <c r="B5" s="15">
        <f>COUNTA('Lab Checklist'!$A$5:$A$165)</f>
        <v>161</v>
      </c>
      <c r="C5" s="3"/>
      <c r="D5" s="5" t="s">
        <v>64</v>
      </c>
      <c r="E5" s="5">
        <v>7</v>
      </c>
      <c r="F5" s="5">
        <f>COUNTIFS('Lab Checklist'!$B$5:$B$165,1,'Lab Checklist'!$K$5:$K$165,"Mastered")</f>
        <v>0</v>
      </c>
      <c r="G5" s="5">
        <f>SUMIF('Lab Checklist'!$B$5:$B$165,1,'Lab Checklist'!$G$5:$G$165)</f>
        <v>18</v>
      </c>
      <c r="H5" s="16">
        <f t="shared" ref="H5:H9" si="0">IF(E5=0,0,F5/E5)</f>
        <v>0</v>
      </c>
    </row>
    <row r="6">
      <c r="A6" s="17" t="s">
        <v>33</v>
      </c>
      <c r="B6" s="18">
        <f>COUNTIF('Lab Checklist'!$K$5:$K$165,"Mastered")</f>
        <v>0</v>
      </c>
      <c r="C6" s="3"/>
      <c r="D6" s="6" t="s">
        <v>65</v>
      </c>
      <c r="E6" s="6">
        <v>12</v>
      </c>
      <c r="F6" s="6">
        <f>COUNTIFS('Lab Checklist'!$B$5:$B$165,2,'Lab Checklist'!$K$5:$K$165,"Mastered")</f>
        <v>0</v>
      </c>
      <c r="G6" s="6">
        <f>SUMIF('Lab Checklist'!$B$5:$B$165,2,'Lab Checklist'!$G$5:$G$165)</f>
        <v>33</v>
      </c>
      <c r="H6" s="19">
        <f t="shared" si="0"/>
        <v>0</v>
      </c>
    </row>
    <row r="7">
      <c r="A7" s="17" t="s">
        <v>25</v>
      </c>
      <c r="B7" s="18">
        <f>COUNTIF('Lab Checklist'!$K$5:$K$165,"In Progress")</f>
        <v>0</v>
      </c>
      <c r="C7" s="3"/>
      <c r="D7" s="6" t="s">
        <v>66</v>
      </c>
      <c r="E7" s="6">
        <v>14</v>
      </c>
      <c r="F7" s="6">
        <f>COUNTIFS('Lab Checklist'!$B$5:$B$165,3,'Lab Checklist'!$K$5:$K$165,"Mastered")</f>
        <v>0</v>
      </c>
      <c r="G7" s="6">
        <f>SUMIF('Lab Checklist'!$B$5:$B$165,3,'Lab Checklist'!$G$5:$G$165)</f>
        <v>62</v>
      </c>
      <c r="H7" s="19">
        <f t="shared" si="0"/>
        <v>0</v>
      </c>
    </row>
    <row r="8">
      <c r="A8" s="17" t="s">
        <v>67</v>
      </c>
      <c r="B8" s="18">
        <f>SUM('Lab Checklist'!$G$5:$G$165)</f>
        <v>699</v>
      </c>
      <c r="C8" s="3"/>
      <c r="D8" s="6" t="s">
        <v>68</v>
      </c>
      <c r="E8" s="6">
        <v>10</v>
      </c>
      <c r="F8" s="6">
        <f>COUNTIFS('Lab Checklist'!$B$5:$B$165,4,'Lab Checklist'!$K$5:$K$165,"Mastered")</f>
        <v>0</v>
      </c>
      <c r="G8" s="6">
        <f>SUMIF('Lab Checklist'!$B$5:$B$165,4,'Lab Checklist'!$G$5:$G$165)</f>
        <v>44</v>
      </c>
      <c r="H8" s="19">
        <f t="shared" si="0"/>
        <v>0</v>
      </c>
    </row>
    <row r="9">
      <c r="A9" s="20" t="s">
        <v>62</v>
      </c>
      <c r="B9" s="21">
        <f>IF(B5=0,0,B6/B5)</f>
        <v>0</v>
      </c>
      <c r="C9" s="3"/>
      <c r="D9" s="6" t="s">
        <v>69</v>
      </c>
      <c r="E9" s="6">
        <v>13</v>
      </c>
      <c r="F9" s="6">
        <f>COUNTIFS('Lab Checklist'!$B$5:$B$165,5,'Lab Checklist'!$K$5:$K$165,"Mastered")</f>
        <v>0</v>
      </c>
      <c r="G9" s="6">
        <f>SUMIF('Lab Checklist'!$B$5:$B$165,5,'Lab Checklist'!$G$5:$G$165)</f>
        <v>58</v>
      </c>
      <c r="H9" s="19">
        <f t="shared" si="0"/>
        <v>0</v>
      </c>
    </row>
    <row r="10">
      <c r="A10" s="3"/>
      <c r="B10" s="3"/>
      <c r="C10" s="3"/>
      <c r="D10" s="6" t="s">
        <v>70</v>
      </c>
      <c r="E10" s="6">
        <v>15</v>
      </c>
      <c r="F10" s="6">
        <f>COUNTIFS('Lab Checklist'!$B$5:$B$165,6,'Lab Checklist'!$K$5:$K$165,"Mastered")</f>
        <v>0</v>
      </c>
      <c r="G10" s="6">
        <f>SUMIF('Lab Checklist'!$B$5:$B$165,6,'Lab Checklist'!$G$5:$G$165)</f>
        <v>66</v>
      </c>
      <c r="H10" s="19">
        <f t="shared" ref="H10:H19" si="1">IF(E10=0,0,F10/E10)</f>
        <v>0</v>
      </c>
    </row>
    <row r="11">
      <c r="A11" s="3"/>
      <c r="B11" s="3"/>
      <c r="C11" s="3"/>
      <c r="D11" s="6" t="s">
        <v>71</v>
      </c>
      <c r="E11" s="6">
        <v>16</v>
      </c>
      <c r="F11" s="6">
        <f>COUNTIFS('Lab Checklist'!$B$5:$B$165,7,'Lab Checklist'!$K$5:$K$165,"Mastered")</f>
        <v>0</v>
      </c>
      <c r="G11" s="6">
        <f>SUMIF('Lab Checklist'!$B$5:$B$165,7,'Lab Checklist'!$G$5:$G$165)</f>
        <v>72</v>
      </c>
      <c r="H11" s="19">
        <f t="shared" si="1"/>
        <v>0</v>
      </c>
    </row>
    <row r="12" ht="30" customHeight="1">
      <c r="A12" s="8" t="s">
        <v>72</v>
      </c>
      <c r="B12" s="10" t="s">
        <v>58</v>
      </c>
      <c r="C12" s="3"/>
      <c r="D12" s="6" t="s">
        <v>73</v>
      </c>
      <c r="E12" s="6">
        <v>11</v>
      </c>
      <c r="F12" s="6">
        <f>COUNTIFS('Lab Checklist'!$B$5:$B$165,8,'Lab Checklist'!$K$5:$K$165,"Mastered")</f>
        <v>0</v>
      </c>
      <c r="G12" s="6">
        <f>SUMIF('Lab Checklist'!$B$5:$B$165,8,'Lab Checklist'!$G$5:$G$165)</f>
        <v>48</v>
      </c>
      <c r="H12" s="19">
        <f t="shared" si="1"/>
        <v>0</v>
      </c>
    </row>
    <row r="13">
      <c r="A13" s="5" t="s">
        <v>74</v>
      </c>
      <c r="B13" s="5" t="s">
        <v>75</v>
      </c>
      <c r="C13" s="3"/>
      <c r="D13" s="6" t="s">
        <v>76</v>
      </c>
      <c r="E13" s="6">
        <v>7</v>
      </c>
      <c r="F13" s="6">
        <f>COUNTIFS('Lab Checklist'!$B$5:$B$165,9,'Lab Checklist'!$K$5:$K$165,"Mastered")</f>
        <v>0</v>
      </c>
      <c r="G13" s="6">
        <f>SUMIF('Lab Checklist'!$B$5:$B$165,9,'Lab Checklist'!$G$5:$G$165)</f>
        <v>30</v>
      </c>
      <c r="H13" s="19">
        <f t="shared" si="1"/>
        <v>0</v>
      </c>
    </row>
    <row r="14">
      <c r="A14" s="6" t="s">
        <v>17</v>
      </c>
      <c r="B14" s="6" t="s">
        <v>33</v>
      </c>
      <c r="C14" s="3"/>
      <c r="D14" s="6" t="s">
        <v>77</v>
      </c>
      <c r="E14" s="6">
        <v>8</v>
      </c>
      <c r="F14" s="6">
        <f>COUNTIFS('Lab Checklist'!$B$5:$B$165,10,'Lab Checklist'!$K$5:$K$165,"Mastered")</f>
        <v>0</v>
      </c>
      <c r="G14" s="6">
        <f>SUMIF('Lab Checklist'!$B$5:$B$165,10,'Lab Checklist'!$G$5:$G$165)</f>
        <v>36</v>
      </c>
      <c r="H14" s="19">
        <f t="shared" si="1"/>
        <v>0</v>
      </c>
    </row>
    <row r="15">
      <c r="A15" s="6" t="s">
        <v>78</v>
      </c>
      <c r="B15" s="6" t="s">
        <v>79</v>
      </c>
      <c r="C15" s="3"/>
      <c r="D15" s="6" t="s">
        <v>80</v>
      </c>
      <c r="E15" s="6">
        <v>8</v>
      </c>
      <c r="F15" s="6">
        <f>COUNTIFS('Lab Checklist'!$B$5:$B$165,11,'Lab Checklist'!$K$5:$K$165,"Mastered")</f>
        <v>0</v>
      </c>
      <c r="G15" s="6">
        <f>SUMIF('Lab Checklist'!$B$5:$B$165,11,'Lab Checklist'!$G$5:$G$165)</f>
        <v>36</v>
      </c>
      <c r="H15" s="19">
        <f t="shared" si="1"/>
        <v>0</v>
      </c>
    </row>
    <row r="16">
      <c r="A16" s="7" t="s">
        <v>81</v>
      </c>
      <c r="B16" s="7" t="s">
        <v>82</v>
      </c>
      <c r="C16" s="3"/>
      <c r="D16" s="6" t="s">
        <v>83</v>
      </c>
      <c r="E16" s="6">
        <v>8</v>
      </c>
      <c r="F16" s="6">
        <f>COUNTIFS('Lab Checklist'!$B$5:$B$165,12,'Lab Checklist'!$K$5:$K$165,"Mastered")</f>
        <v>0</v>
      </c>
      <c r="G16" s="6">
        <f>SUMIF('Lab Checklist'!$B$5:$B$165,12,'Lab Checklist'!$G$5:$G$165)</f>
        <v>36</v>
      </c>
      <c r="H16" s="19">
        <f t="shared" si="1"/>
        <v>0</v>
      </c>
    </row>
    <row r="17">
      <c r="A17" s="3"/>
      <c r="B17" s="3"/>
      <c r="C17" s="3"/>
      <c r="D17" s="6" t="s">
        <v>84</v>
      </c>
      <c r="E17" s="6">
        <v>10</v>
      </c>
      <c r="F17" s="6">
        <f>COUNTIFS('Lab Checklist'!$B$5:$B$165,13,'Lab Checklist'!$K$5:$K$165,"Mastered")</f>
        <v>0</v>
      </c>
      <c r="G17" s="6">
        <f>SUMIF('Lab Checklist'!$B$5:$B$165,13,'Lab Checklist'!$G$5:$G$165)</f>
        <v>44</v>
      </c>
      <c r="H17" s="19">
        <f t="shared" si="1"/>
        <v>0</v>
      </c>
    </row>
    <row r="18">
      <c r="A18" s="3"/>
      <c r="B18" s="3"/>
      <c r="C18" s="3"/>
      <c r="D18" s="6" t="s">
        <v>85</v>
      </c>
      <c r="E18" s="6">
        <v>10</v>
      </c>
      <c r="F18" s="6">
        <f>COUNTIFS('Lab Checklist'!$B$5:$B$165,14,'Lab Checklist'!$K$5:$K$165,"Mastered")</f>
        <v>0</v>
      </c>
      <c r="G18" s="6">
        <f>SUMIF('Lab Checklist'!$B$5:$B$165,14,'Lab Checklist'!$G$5:$G$165)</f>
        <v>44</v>
      </c>
      <c r="H18" s="19">
        <f t="shared" si="1"/>
        <v>0</v>
      </c>
    </row>
    <row r="19">
      <c r="A19" s="3"/>
      <c r="B19" s="3"/>
      <c r="C19" s="3"/>
      <c r="D19" s="7" t="s">
        <v>86</v>
      </c>
      <c r="E19" s="7">
        <v>12</v>
      </c>
      <c r="F19" s="7">
        <f>COUNTIFS('Lab Checklist'!$B$5:$B$165,15,'Lab Checklist'!$K$5:$K$165,"Mastered")</f>
        <v>0</v>
      </c>
      <c r="G19" s="7">
        <f>SUMIF('Lab Checklist'!$B$5:$B$165,15,'Lab Checklist'!$G$5:$G$165)</f>
        <v>72</v>
      </c>
      <c r="H19" s="22">
        <f t="shared" si="1"/>
        <v>0</v>
      </c>
    </row>
  </sheetData>
  <mergeCells count="2">
    <mergeCell ref="A1:H1"/>
    <mergeCell ref="A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" id="{E5DDF12A-2900-40B9-BCBB-38AA88251176}">
            <x14:dataBar maxLength="90" minLength="10" axisPosition="automatic" direction="context">
              <x14:cfvo type="min"/>
              <x14:cfvo type="max"/>
              <x14:fillColor rgb="FF1464F4"/>
            </x14:dataBar>
          </x14:cfRule>
          <xm:sqref>H5:H19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31"/>
    <col customWidth="1" min="2" max="2" width="36"/>
    <col customWidth="1" min="3" max="3" width="46"/>
    <col customWidth="1" min="4" max="4" width="10"/>
    <col customWidth="1" min="5" max="5" width="12"/>
    <col customWidth="1" min="6" max="6" width="16"/>
    <col customWidth="1" min="7" max="7" width="42"/>
  </cols>
  <sheetData>
    <row r="1" ht="34" customHeight="1">
      <c r="A1" s="1" t="s">
        <v>87</v>
      </c>
      <c r="B1" s="1"/>
      <c r="C1" s="1"/>
      <c r="D1" s="1"/>
      <c r="E1" s="1"/>
      <c r="F1" s="1"/>
      <c r="G1" s="1"/>
      <c r="H1" s="3"/>
    </row>
    <row r="2" ht="30" customHeight="1">
      <c r="A2" s="2" t="s">
        <v>88</v>
      </c>
      <c r="B2" s="2" t="s">
        <v>88</v>
      </c>
      <c r="C2" s="2" t="s">
        <v>88</v>
      </c>
      <c r="D2" s="2" t="s">
        <v>88</v>
      </c>
      <c r="E2" s="2" t="s">
        <v>88</v>
      </c>
      <c r="F2" s="2" t="s">
        <v>88</v>
      </c>
      <c r="G2" s="2" t="s">
        <v>88</v>
      </c>
      <c r="H2" s="2" t="s">
        <v>88</v>
      </c>
    </row>
    <row r="3">
      <c r="A3" s="3"/>
      <c r="B3" s="3"/>
      <c r="C3" s="3"/>
      <c r="D3" s="3"/>
      <c r="E3" s="3"/>
      <c r="F3" s="3"/>
      <c r="G3" s="3"/>
      <c r="H3" s="3"/>
    </row>
    <row r="4" ht="30" customHeight="1">
      <c r="A4" s="8" t="s">
        <v>59</v>
      </c>
      <c r="B4" s="9" t="s">
        <v>89</v>
      </c>
      <c r="C4" s="9" t="s">
        <v>90</v>
      </c>
      <c r="D4" s="9" t="s">
        <v>60</v>
      </c>
      <c r="E4" s="9" t="s">
        <v>91</v>
      </c>
      <c r="F4" s="9" t="s">
        <v>92</v>
      </c>
      <c r="G4" s="10" t="s">
        <v>93</v>
      </c>
      <c r="H4" s="3"/>
    </row>
    <row r="5" ht="108" customHeight="1">
      <c r="A5" s="11" t="s">
        <v>64</v>
      </c>
      <c r="B5" s="5" t="s">
        <v>94</v>
      </c>
      <c r="C5" s="5" t="s">
        <v>95</v>
      </c>
      <c r="D5" s="5">
        <v>7</v>
      </c>
      <c r="E5" s="5">
        <v>18</v>
      </c>
      <c r="F5" s="5" t="s">
        <v>27</v>
      </c>
      <c r="G5" s="5" t="s">
        <v>96</v>
      </c>
      <c r="H5" s="3"/>
    </row>
    <row r="6" ht="108" customHeight="1">
      <c r="A6" s="12" t="s">
        <v>65</v>
      </c>
      <c r="B6" s="6" t="s">
        <v>97</v>
      </c>
      <c r="C6" s="6" t="s">
        <v>98</v>
      </c>
      <c r="D6" s="6">
        <v>12</v>
      </c>
      <c r="E6" s="6">
        <v>33</v>
      </c>
      <c r="F6" s="6" t="s">
        <v>35</v>
      </c>
      <c r="G6" s="6" t="s">
        <v>96</v>
      </c>
      <c r="H6" s="3"/>
    </row>
    <row r="7" ht="96" customHeight="1">
      <c r="A7" s="12" t="s">
        <v>66</v>
      </c>
      <c r="B7" s="6" t="s">
        <v>99</v>
      </c>
      <c r="C7" s="6" t="s">
        <v>100</v>
      </c>
      <c r="D7" s="6">
        <v>14</v>
      </c>
      <c r="E7" s="6">
        <v>62</v>
      </c>
      <c r="F7" s="6" t="s">
        <v>101</v>
      </c>
      <c r="G7" s="6" t="s">
        <v>102</v>
      </c>
      <c r="H7" s="3"/>
    </row>
    <row r="8" ht="84" customHeight="1">
      <c r="A8" s="12" t="s">
        <v>68</v>
      </c>
      <c r="B8" s="6" t="s">
        <v>103</v>
      </c>
      <c r="C8" s="6" t="s">
        <v>104</v>
      </c>
      <c r="D8" s="6">
        <v>10</v>
      </c>
      <c r="E8" s="6">
        <v>44</v>
      </c>
      <c r="F8" s="6" t="s">
        <v>35</v>
      </c>
      <c r="G8" s="6" t="s">
        <v>102</v>
      </c>
      <c r="H8" s="3"/>
    </row>
    <row r="9" ht="84" customHeight="1">
      <c r="A9" s="12" t="s">
        <v>69</v>
      </c>
      <c r="B9" s="6" t="s">
        <v>105</v>
      </c>
      <c r="C9" s="6" t="s">
        <v>106</v>
      </c>
      <c r="D9" s="6">
        <v>13</v>
      </c>
      <c r="E9" s="6">
        <v>58</v>
      </c>
      <c r="F9" s="6" t="s">
        <v>101</v>
      </c>
      <c r="G9" s="6" t="s">
        <v>102</v>
      </c>
      <c r="H9" s="3"/>
    </row>
    <row r="10" ht="84" customHeight="1">
      <c r="A10" s="12" t="s">
        <v>70</v>
      </c>
      <c r="B10" s="6" t="s">
        <v>107</v>
      </c>
      <c r="C10" s="6" t="s">
        <v>108</v>
      </c>
      <c r="D10" s="6">
        <v>15</v>
      </c>
      <c r="E10" s="6">
        <v>66</v>
      </c>
      <c r="F10" s="6" t="s">
        <v>101</v>
      </c>
      <c r="G10" s="6" t="s">
        <v>102</v>
      </c>
      <c r="H10" s="3"/>
    </row>
    <row r="11" ht="96" customHeight="1">
      <c r="A11" s="12" t="s">
        <v>71</v>
      </c>
      <c r="B11" s="6" t="s">
        <v>109</v>
      </c>
      <c r="C11" s="6" t="s">
        <v>110</v>
      </c>
      <c r="D11" s="6">
        <v>16</v>
      </c>
      <c r="E11" s="6">
        <v>72</v>
      </c>
      <c r="F11" s="6" t="s">
        <v>111</v>
      </c>
      <c r="G11" s="6" t="s">
        <v>102</v>
      </c>
      <c r="H11" s="3"/>
    </row>
    <row r="12" ht="84" customHeight="1">
      <c r="A12" s="12" t="s">
        <v>73</v>
      </c>
      <c r="B12" s="6" t="s">
        <v>112</v>
      </c>
      <c r="C12" s="6" t="s">
        <v>113</v>
      </c>
      <c r="D12" s="6">
        <v>11</v>
      </c>
      <c r="E12" s="6">
        <v>48</v>
      </c>
      <c r="F12" s="6" t="s">
        <v>35</v>
      </c>
      <c r="G12" s="6" t="s">
        <v>102</v>
      </c>
      <c r="H12" s="3"/>
    </row>
    <row r="13" ht="120" customHeight="1">
      <c r="A13" s="12" t="s">
        <v>76</v>
      </c>
      <c r="B13" s="6" t="s">
        <v>114</v>
      </c>
      <c r="C13" s="6" t="s">
        <v>115</v>
      </c>
      <c r="D13" s="6">
        <v>7</v>
      </c>
      <c r="E13" s="6">
        <v>30</v>
      </c>
      <c r="F13" s="6" t="s">
        <v>116</v>
      </c>
      <c r="G13" s="6" t="s">
        <v>102</v>
      </c>
      <c r="H13" s="3"/>
    </row>
    <row r="14" ht="84" customHeight="1">
      <c r="A14" s="12" t="s">
        <v>77</v>
      </c>
      <c r="B14" s="6" t="s">
        <v>117</v>
      </c>
      <c r="C14" s="6" t="s">
        <v>118</v>
      </c>
      <c r="D14" s="6">
        <v>8</v>
      </c>
      <c r="E14" s="6">
        <v>36</v>
      </c>
      <c r="F14" s="6" t="s">
        <v>116</v>
      </c>
      <c r="G14" s="6" t="s">
        <v>102</v>
      </c>
      <c r="H14" s="3"/>
    </row>
    <row r="15" ht="84" customHeight="1">
      <c r="A15" s="12" t="s">
        <v>80</v>
      </c>
      <c r="B15" s="6" t="s">
        <v>119</v>
      </c>
      <c r="C15" s="6" t="s">
        <v>120</v>
      </c>
      <c r="D15" s="6">
        <v>8</v>
      </c>
      <c r="E15" s="6">
        <v>36</v>
      </c>
      <c r="F15" s="6" t="s">
        <v>116</v>
      </c>
      <c r="G15" s="6" t="s">
        <v>102</v>
      </c>
      <c r="H15" s="3"/>
    </row>
    <row r="16" ht="96" customHeight="1">
      <c r="A16" s="12" t="s">
        <v>83</v>
      </c>
      <c r="B16" s="6" t="s">
        <v>121</v>
      </c>
      <c r="C16" s="6" t="s">
        <v>122</v>
      </c>
      <c r="D16" s="6">
        <v>8</v>
      </c>
      <c r="E16" s="6">
        <v>36</v>
      </c>
      <c r="F16" s="6" t="s">
        <v>116</v>
      </c>
      <c r="G16" s="6" t="s">
        <v>102</v>
      </c>
      <c r="H16" s="3"/>
    </row>
    <row r="17" ht="96" customHeight="1">
      <c r="A17" s="12" t="s">
        <v>84</v>
      </c>
      <c r="B17" s="6" t="s">
        <v>123</v>
      </c>
      <c r="C17" s="6" t="s">
        <v>124</v>
      </c>
      <c r="D17" s="6">
        <v>10</v>
      </c>
      <c r="E17" s="6">
        <v>44</v>
      </c>
      <c r="F17" s="6" t="s">
        <v>35</v>
      </c>
      <c r="G17" s="6" t="s">
        <v>125</v>
      </c>
      <c r="H17" s="3"/>
    </row>
    <row r="18" ht="96" customHeight="1">
      <c r="A18" s="12" t="s">
        <v>85</v>
      </c>
      <c r="B18" s="6" t="s">
        <v>126</v>
      </c>
      <c r="C18" s="6" t="s">
        <v>127</v>
      </c>
      <c r="D18" s="6">
        <v>10</v>
      </c>
      <c r="E18" s="6">
        <v>44</v>
      </c>
      <c r="F18" s="6" t="s">
        <v>35</v>
      </c>
      <c r="G18" s="6" t="s">
        <v>125</v>
      </c>
      <c r="H18" s="3"/>
    </row>
    <row r="19" ht="84" customHeight="1">
      <c r="A19" s="13" t="s">
        <v>86</v>
      </c>
      <c r="B19" s="7" t="s">
        <v>128</v>
      </c>
      <c r="C19" s="7" t="s">
        <v>129</v>
      </c>
      <c r="D19" s="7">
        <v>12</v>
      </c>
      <c r="E19" s="7">
        <v>72</v>
      </c>
      <c r="F19" s="7" t="s">
        <v>130</v>
      </c>
      <c r="G19" s="7" t="s">
        <v>125</v>
      </c>
      <c r="H19" s="3"/>
    </row>
  </sheetData>
  <mergeCells count="2">
    <mergeCell ref="A1:G1"/>
    <mergeCell ref="A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42" zoomScale="100" workbookViewId="0">
      <selection activeCell="A1" activeCellId="0" sqref="A1"/>
    </sheetView>
  </sheetViews>
  <sheetFormatPr defaultRowHeight="14.25"/>
  <cols>
    <col customWidth="1" min="1" max="1" width="13"/>
    <col customWidth="1" min="2" max="2" width="9"/>
    <col customWidth="1" min="3" max="3" width="30"/>
    <col customWidth="1" min="4" max="4" width="40"/>
    <col customWidth="1" min="5" max="5" width="48"/>
    <col customWidth="1" min="6" max="6" width="27"/>
    <col customWidth="1" min="7" max="7" width="10"/>
    <col customWidth="1" min="8" max="8" width="14"/>
    <col customWidth="1" min="9" max="10" width="13"/>
    <col customWidth="1" min="11" max="11" width="15"/>
    <col customWidth="1" min="12" max="12" width="16"/>
    <col customWidth="1" min="13" max="13" width="26"/>
    <col customWidth="1" min="14" max="14" width="15"/>
    <col customWidth="1" min="15" max="15" width="48"/>
    <col customWidth="1" min="16" max="16" width="36"/>
    <col customWidth="1" min="17" max="17" width="12"/>
  </cols>
  <sheetData>
    <row r="1" ht="34" customHeight="1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>
      <c r="A2" s="2" t="s">
        <v>132</v>
      </c>
      <c r="B2" s="2" t="s">
        <v>132</v>
      </c>
      <c r="C2" s="2" t="s">
        <v>132</v>
      </c>
      <c r="D2" s="2" t="s">
        <v>132</v>
      </c>
      <c r="E2" s="2" t="s">
        <v>132</v>
      </c>
      <c r="F2" s="2" t="s">
        <v>132</v>
      </c>
      <c r="G2" s="2" t="s">
        <v>132</v>
      </c>
      <c r="H2" s="2" t="s">
        <v>132</v>
      </c>
      <c r="I2" s="3"/>
      <c r="J2" s="3"/>
      <c r="K2" s="3"/>
      <c r="L2" s="3"/>
      <c r="M2" s="3"/>
      <c r="N2" s="3"/>
      <c r="O2" s="3"/>
      <c r="P2" s="3"/>
      <c r="Q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30" customHeight="1">
      <c r="A4" s="8" t="s">
        <v>133</v>
      </c>
      <c r="B4" s="9" t="s">
        <v>134</v>
      </c>
      <c r="C4" s="9" t="s">
        <v>135</v>
      </c>
      <c r="D4" s="9" t="s">
        <v>136</v>
      </c>
      <c r="E4" s="9" t="s">
        <v>137</v>
      </c>
      <c r="F4" s="9" t="s">
        <v>138</v>
      </c>
      <c r="G4" s="9" t="s">
        <v>91</v>
      </c>
      <c r="H4" s="9" t="s">
        <v>139</v>
      </c>
      <c r="I4" s="9" t="s">
        <v>140</v>
      </c>
      <c r="J4" s="9" t="s">
        <v>141</v>
      </c>
      <c r="K4" s="9" t="s">
        <v>17</v>
      </c>
      <c r="L4" s="9" t="s">
        <v>142</v>
      </c>
      <c r="M4" s="9" t="s">
        <v>143</v>
      </c>
      <c r="N4" s="9" t="s">
        <v>144</v>
      </c>
      <c r="O4" s="9" t="s">
        <v>145</v>
      </c>
      <c r="P4" s="9" t="s">
        <v>146</v>
      </c>
      <c r="Q4" s="10" t="s">
        <v>147</v>
      </c>
    </row>
    <row r="5" ht="27">
      <c r="A5" s="5" t="s">
        <v>148</v>
      </c>
      <c r="B5" s="23">
        <v>1</v>
      </c>
      <c r="C5" s="5" t="s">
        <v>149</v>
      </c>
      <c r="D5" s="5" t="s">
        <v>150</v>
      </c>
      <c r="E5" s="5" t="s">
        <v>151</v>
      </c>
      <c r="F5" s="5" t="s">
        <v>152</v>
      </c>
      <c r="G5" s="23">
        <v>2</v>
      </c>
      <c r="H5" s="5" t="s">
        <v>153</v>
      </c>
      <c r="I5" s="5" t="s">
        <v>154</v>
      </c>
      <c r="J5" s="5"/>
      <c r="K5" s="5" t="s">
        <v>21</v>
      </c>
      <c r="L5" s="23">
        <v>0</v>
      </c>
      <c r="M5" s="5"/>
      <c r="N5" s="24"/>
      <c r="O5" s="5" t="s">
        <v>155</v>
      </c>
      <c r="P5" s="5"/>
      <c r="Q5" s="5" t="s">
        <v>156</v>
      </c>
    </row>
    <row r="6" ht="27">
      <c r="A6" s="6" t="s">
        <v>157</v>
      </c>
      <c r="B6" s="25">
        <v>1</v>
      </c>
      <c r="C6" s="6" t="s">
        <v>149</v>
      </c>
      <c r="D6" s="6" t="s">
        <v>158</v>
      </c>
      <c r="E6" s="6" t="s">
        <v>159</v>
      </c>
      <c r="F6" s="6" t="s">
        <v>152</v>
      </c>
      <c r="G6" s="25">
        <v>2</v>
      </c>
      <c r="H6" s="6" t="s">
        <v>153</v>
      </c>
      <c r="I6" s="6" t="s">
        <v>160</v>
      </c>
      <c r="J6" s="6" t="s">
        <v>148</v>
      </c>
      <c r="K6" s="6" t="s">
        <v>21</v>
      </c>
      <c r="L6" s="25">
        <v>0</v>
      </c>
      <c r="M6" s="6"/>
      <c r="N6" s="26"/>
      <c r="O6" s="6" t="s">
        <v>155</v>
      </c>
      <c r="P6" s="6"/>
      <c r="Q6" s="6" t="s">
        <v>156</v>
      </c>
    </row>
    <row r="7" ht="27">
      <c r="A7" s="6" t="s">
        <v>161</v>
      </c>
      <c r="B7" s="25">
        <v>1</v>
      </c>
      <c r="C7" s="6" t="s">
        <v>149</v>
      </c>
      <c r="D7" s="6" t="s">
        <v>162</v>
      </c>
      <c r="E7" s="6" t="s">
        <v>163</v>
      </c>
      <c r="F7" s="6" t="s">
        <v>152</v>
      </c>
      <c r="G7" s="25">
        <v>2</v>
      </c>
      <c r="H7" s="6" t="s">
        <v>153</v>
      </c>
      <c r="I7" s="6" t="s">
        <v>160</v>
      </c>
      <c r="J7" s="6" t="s">
        <v>157</v>
      </c>
      <c r="K7" s="6" t="s">
        <v>21</v>
      </c>
      <c r="L7" s="25">
        <v>0</v>
      </c>
      <c r="M7" s="6"/>
      <c r="N7" s="26"/>
      <c r="O7" s="6" t="s">
        <v>155</v>
      </c>
      <c r="P7" s="6"/>
      <c r="Q7" s="6" t="s">
        <v>156</v>
      </c>
    </row>
    <row r="8" ht="27">
      <c r="A8" s="6" t="s">
        <v>164</v>
      </c>
      <c r="B8" s="25">
        <v>1</v>
      </c>
      <c r="C8" s="6" t="s">
        <v>149</v>
      </c>
      <c r="D8" s="6" t="s">
        <v>165</v>
      </c>
      <c r="E8" s="6" t="s">
        <v>166</v>
      </c>
      <c r="F8" s="6" t="s">
        <v>152</v>
      </c>
      <c r="G8" s="25">
        <v>3</v>
      </c>
      <c r="H8" s="6" t="s">
        <v>167</v>
      </c>
      <c r="I8" s="6" t="s">
        <v>154</v>
      </c>
      <c r="J8" s="6" t="s">
        <v>161</v>
      </c>
      <c r="K8" s="6" t="s">
        <v>21</v>
      </c>
      <c r="L8" s="25">
        <v>0</v>
      </c>
      <c r="M8" s="6"/>
      <c r="N8" s="26"/>
      <c r="O8" s="6" t="s">
        <v>155</v>
      </c>
      <c r="P8" s="6"/>
      <c r="Q8" s="6" t="s">
        <v>156</v>
      </c>
    </row>
    <row r="9" ht="27">
      <c r="A9" s="6" t="s">
        <v>168</v>
      </c>
      <c r="B9" s="25">
        <v>1</v>
      </c>
      <c r="C9" s="6" t="s">
        <v>149</v>
      </c>
      <c r="D9" s="6" t="s">
        <v>169</v>
      </c>
      <c r="E9" s="6" t="s">
        <v>170</v>
      </c>
      <c r="F9" s="6" t="s">
        <v>152</v>
      </c>
      <c r="G9" s="25">
        <v>3</v>
      </c>
      <c r="H9" s="6" t="s">
        <v>167</v>
      </c>
      <c r="I9" s="6" t="s">
        <v>160</v>
      </c>
      <c r="J9" s="6" t="s">
        <v>164</v>
      </c>
      <c r="K9" s="6" t="s">
        <v>21</v>
      </c>
      <c r="L9" s="25">
        <v>0</v>
      </c>
      <c r="M9" s="6"/>
      <c r="N9" s="26"/>
      <c r="O9" s="6" t="s">
        <v>155</v>
      </c>
      <c r="P9" s="6"/>
      <c r="Q9" s="6" t="s">
        <v>156</v>
      </c>
    </row>
    <row r="10" ht="27">
      <c r="A10" s="6" t="s">
        <v>171</v>
      </c>
      <c r="B10" s="25">
        <v>1</v>
      </c>
      <c r="C10" s="6" t="s">
        <v>149</v>
      </c>
      <c r="D10" s="6" t="s">
        <v>172</v>
      </c>
      <c r="E10" s="6" t="s">
        <v>173</v>
      </c>
      <c r="F10" s="6" t="s">
        <v>152</v>
      </c>
      <c r="G10" s="25">
        <v>3</v>
      </c>
      <c r="H10" s="6" t="s">
        <v>167</v>
      </c>
      <c r="I10" s="6" t="s">
        <v>160</v>
      </c>
      <c r="J10" s="6" t="s">
        <v>168</v>
      </c>
      <c r="K10" s="6" t="s">
        <v>21</v>
      </c>
      <c r="L10" s="25">
        <v>0</v>
      </c>
      <c r="M10" s="6"/>
      <c r="N10" s="26"/>
      <c r="O10" s="6" t="s">
        <v>155</v>
      </c>
      <c r="P10" s="6"/>
      <c r="Q10" s="6" t="s">
        <v>156</v>
      </c>
    </row>
    <row r="11" ht="27">
      <c r="A11" s="6" t="s">
        <v>174</v>
      </c>
      <c r="B11" s="25">
        <v>1</v>
      </c>
      <c r="C11" s="6" t="s">
        <v>149</v>
      </c>
      <c r="D11" s="6" t="s">
        <v>175</v>
      </c>
      <c r="E11" s="6" t="s">
        <v>176</v>
      </c>
      <c r="F11" s="6" t="s">
        <v>152</v>
      </c>
      <c r="G11" s="25">
        <v>3</v>
      </c>
      <c r="H11" s="6" t="s">
        <v>167</v>
      </c>
      <c r="I11" s="6" t="s">
        <v>154</v>
      </c>
      <c r="J11" s="6" t="s">
        <v>171</v>
      </c>
      <c r="K11" s="6" t="s">
        <v>21</v>
      </c>
      <c r="L11" s="25">
        <v>0</v>
      </c>
      <c r="M11" s="6"/>
      <c r="N11" s="26"/>
      <c r="O11" s="6" t="s">
        <v>155</v>
      </c>
      <c r="P11" s="6"/>
      <c r="Q11" s="6" t="s">
        <v>156</v>
      </c>
    </row>
    <row r="12" ht="27">
      <c r="A12" s="6" t="s">
        <v>177</v>
      </c>
      <c r="B12" s="25">
        <v>2</v>
      </c>
      <c r="C12" s="6" t="s">
        <v>178</v>
      </c>
      <c r="D12" s="6" t="s">
        <v>179</v>
      </c>
      <c r="E12" s="6" t="s">
        <v>180</v>
      </c>
      <c r="F12" s="6" t="s">
        <v>181</v>
      </c>
      <c r="G12" s="25">
        <v>2</v>
      </c>
      <c r="H12" s="6" t="s">
        <v>153</v>
      </c>
      <c r="I12" s="6" t="s">
        <v>154</v>
      </c>
      <c r="J12" s="6"/>
      <c r="K12" s="6" t="s">
        <v>21</v>
      </c>
      <c r="L12" s="25">
        <v>0</v>
      </c>
      <c r="M12" s="6"/>
      <c r="N12" s="26"/>
      <c r="O12" s="6" t="s">
        <v>155</v>
      </c>
      <c r="P12" s="6"/>
      <c r="Q12" s="6" t="s">
        <v>182</v>
      </c>
    </row>
    <row r="13" ht="27">
      <c r="A13" s="6" t="s">
        <v>183</v>
      </c>
      <c r="B13" s="25">
        <v>2</v>
      </c>
      <c r="C13" s="6" t="s">
        <v>178</v>
      </c>
      <c r="D13" s="6" t="s">
        <v>184</v>
      </c>
      <c r="E13" s="6" t="s">
        <v>185</v>
      </c>
      <c r="F13" s="6" t="s">
        <v>181</v>
      </c>
      <c r="G13" s="25">
        <v>2</v>
      </c>
      <c r="H13" s="6" t="s">
        <v>153</v>
      </c>
      <c r="I13" s="6" t="s">
        <v>160</v>
      </c>
      <c r="J13" s="6" t="s">
        <v>177</v>
      </c>
      <c r="K13" s="6" t="s">
        <v>21</v>
      </c>
      <c r="L13" s="25">
        <v>0</v>
      </c>
      <c r="M13" s="6"/>
      <c r="N13" s="26"/>
      <c r="O13" s="6" t="s">
        <v>155</v>
      </c>
      <c r="P13" s="6"/>
      <c r="Q13" s="6" t="s">
        <v>182</v>
      </c>
    </row>
    <row r="14" ht="27">
      <c r="A14" s="6" t="s">
        <v>186</v>
      </c>
      <c r="B14" s="25">
        <v>2</v>
      </c>
      <c r="C14" s="6" t="s">
        <v>178</v>
      </c>
      <c r="D14" s="6" t="s">
        <v>187</v>
      </c>
      <c r="E14" s="6" t="s">
        <v>188</v>
      </c>
      <c r="F14" s="6" t="s">
        <v>181</v>
      </c>
      <c r="G14" s="25">
        <v>2</v>
      </c>
      <c r="H14" s="6" t="s">
        <v>153</v>
      </c>
      <c r="I14" s="6" t="s">
        <v>160</v>
      </c>
      <c r="J14" s="6" t="s">
        <v>183</v>
      </c>
      <c r="K14" s="6" t="s">
        <v>21</v>
      </c>
      <c r="L14" s="25">
        <v>0</v>
      </c>
      <c r="M14" s="6"/>
      <c r="N14" s="26"/>
      <c r="O14" s="6" t="s">
        <v>155</v>
      </c>
      <c r="P14" s="6"/>
      <c r="Q14" s="6" t="s">
        <v>182</v>
      </c>
    </row>
    <row r="15" ht="27">
      <c r="A15" s="6" t="s">
        <v>189</v>
      </c>
      <c r="B15" s="25">
        <v>2</v>
      </c>
      <c r="C15" s="6" t="s">
        <v>178</v>
      </c>
      <c r="D15" s="6" t="s">
        <v>190</v>
      </c>
      <c r="E15" s="6" t="s">
        <v>191</v>
      </c>
      <c r="F15" s="6" t="s">
        <v>181</v>
      </c>
      <c r="G15" s="25">
        <v>3</v>
      </c>
      <c r="H15" s="6" t="s">
        <v>167</v>
      </c>
      <c r="I15" s="6" t="s">
        <v>154</v>
      </c>
      <c r="J15" s="6" t="s">
        <v>186</v>
      </c>
      <c r="K15" s="6" t="s">
        <v>21</v>
      </c>
      <c r="L15" s="25">
        <v>0</v>
      </c>
      <c r="M15" s="6"/>
      <c r="N15" s="26"/>
      <c r="O15" s="6" t="s">
        <v>155</v>
      </c>
      <c r="P15" s="6"/>
      <c r="Q15" s="6" t="s">
        <v>182</v>
      </c>
    </row>
    <row r="16" ht="27">
      <c r="A16" s="6" t="s">
        <v>192</v>
      </c>
      <c r="B16" s="25">
        <v>2</v>
      </c>
      <c r="C16" s="6" t="s">
        <v>178</v>
      </c>
      <c r="D16" s="6" t="s">
        <v>193</v>
      </c>
      <c r="E16" s="6" t="s">
        <v>194</v>
      </c>
      <c r="F16" s="6" t="s">
        <v>181</v>
      </c>
      <c r="G16" s="25">
        <v>3</v>
      </c>
      <c r="H16" s="6" t="s">
        <v>167</v>
      </c>
      <c r="I16" s="6" t="s">
        <v>160</v>
      </c>
      <c r="J16" s="6" t="s">
        <v>189</v>
      </c>
      <c r="K16" s="6" t="s">
        <v>21</v>
      </c>
      <c r="L16" s="25">
        <v>0</v>
      </c>
      <c r="M16" s="6"/>
      <c r="N16" s="26"/>
      <c r="O16" s="6" t="s">
        <v>155</v>
      </c>
      <c r="P16" s="6"/>
      <c r="Q16" s="6" t="s">
        <v>182</v>
      </c>
    </row>
    <row r="17" ht="27">
      <c r="A17" s="6" t="s">
        <v>195</v>
      </c>
      <c r="B17" s="25">
        <v>2</v>
      </c>
      <c r="C17" s="6" t="s">
        <v>178</v>
      </c>
      <c r="D17" s="6" t="s">
        <v>196</v>
      </c>
      <c r="E17" s="6" t="s">
        <v>197</v>
      </c>
      <c r="F17" s="6" t="s">
        <v>181</v>
      </c>
      <c r="G17" s="25">
        <v>3</v>
      </c>
      <c r="H17" s="6" t="s">
        <v>167</v>
      </c>
      <c r="I17" s="6" t="s">
        <v>160</v>
      </c>
      <c r="J17" s="6" t="s">
        <v>192</v>
      </c>
      <c r="K17" s="6" t="s">
        <v>21</v>
      </c>
      <c r="L17" s="25">
        <v>0</v>
      </c>
      <c r="M17" s="6"/>
      <c r="N17" s="26"/>
      <c r="O17" s="6" t="s">
        <v>155</v>
      </c>
      <c r="P17" s="6"/>
      <c r="Q17" s="6" t="s">
        <v>182</v>
      </c>
    </row>
    <row r="18" ht="27">
      <c r="A18" s="6" t="s">
        <v>198</v>
      </c>
      <c r="B18" s="25">
        <v>2</v>
      </c>
      <c r="C18" s="6" t="s">
        <v>178</v>
      </c>
      <c r="D18" s="6" t="s">
        <v>199</v>
      </c>
      <c r="E18" s="6" t="s">
        <v>200</v>
      </c>
      <c r="F18" s="6" t="s">
        <v>181</v>
      </c>
      <c r="G18" s="25">
        <v>3</v>
      </c>
      <c r="H18" s="6" t="s">
        <v>167</v>
      </c>
      <c r="I18" s="6" t="s">
        <v>154</v>
      </c>
      <c r="J18" s="6" t="s">
        <v>195</v>
      </c>
      <c r="K18" s="6" t="s">
        <v>21</v>
      </c>
      <c r="L18" s="25">
        <v>0</v>
      </c>
      <c r="M18" s="6"/>
      <c r="N18" s="26"/>
      <c r="O18" s="6" t="s">
        <v>155</v>
      </c>
      <c r="P18" s="6"/>
      <c r="Q18" s="6" t="s">
        <v>182</v>
      </c>
    </row>
    <row r="19" ht="27">
      <c r="A19" s="6" t="s">
        <v>201</v>
      </c>
      <c r="B19" s="25">
        <v>2</v>
      </c>
      <c r="C19" s="6" t="s">
        <v>178</v>
      </c>
      <c r="D19" s="6" t="s">
        <v>202</v>
      </c>
      <c r="E19" s="6" t="s">
        <v>203</v>
      </c>
      <c r="F19" s="6" t="s">
        <v>181</v>
      </c>
      <c r="G19" s="25">
        <v>3</v>
      </c>
      <c r="H19" s="6" t="s">
        <v>167</v>
      </c>
      <c r="I19" s="6" t="s">
        <v>160</v>
      </c>
      <c r="J19" s="6" t="s">
        <v>198</v>
      </c>
      <c r="K19" s="6" t="s">
        <v>21</v>
      </c>
      <c r="L19" s="25">
        <v>0</v>
      </c>
      <c r="M19" s="6"/>
      <c r="N19" s="26"/>
      <c r="O19" s="6" t="s">
        <v>155</v>
      </c>
      <c r="P19" s="6"/>
      <c r="Q19" s="6" t="s">
        <v>182</v>
      </c>
    </row>
    <row r="20" ht="27">
      <c r="A20" s="6" t="s">
        <v>204</v>
      </c>
      <c r="B20" s="25">
        <v>2</v>
      </c>
      <c r="C20" s="6" t="s">
        <v>178</v>
      </c>
      <c r="D20" s="6" t="s">
        <v>205</v>
      </c>
      <c r="E20" s="6" t="s">
        <v>206</v>
      </c>
      <c r="F20" s="6" t="s">
        <v>181</v>
      </c>
      <c r="G20" s="25">
        <v>3</v>
      </c>
      <c r="H20" s="6" t="s">
        <v>167</v>
      </c>
      <c r="I20" s="6" t="s">
        <v>160</v>
      </c>
      <c r="J20" s="6" t="s">
        <v>201</v>
      </c>
      <c r="K20" s="6" t="s">
        <v>21</v>
      </c>
      <c r="L20" s="25">
        <v>0</v>
      </c>
      <c r="M20" s="6"/>
      <c r="N20" s="26"/>
      <c r="O20" s="6" t="s">
        <v>155</v>
      </c>
      <c r="P20" s="6"/>
      <c r="Q20" s="6" t="s">
        <v>182</v>
      </c>
    </row>
    <row r="21" ht="27">
      <c r="A21" s="6" t="s">
        <v>207</v>
      </c>
      <c r="B21" s="25">
        <v>2</v>
      </c>
      <c r="C21" s="6" t="s">
        <v>178</v>
      </c>
      <c r="D21" s="6" t="s">
        <v>208</v>
      </c>
      <c r="E21" s="6" t="s">
        <v>209</v>
      </c>
      <c r="F21" s="6" t="s">
        <v>181</v>
      </c>
      <c r="G21" s="25">
        <v>3</v>
      </c>
      <c r="H21" s="6" t="s">
        <v>167</v>
      </c>
      <c r="I21" s="6" t="s">
        <v>154</v>
      </c>
      <c r="J21" s="6" t="s">
        <v>204</v>
      </c>
      <c r="K21" s="6" t="s">
        <v>21</v>
      </c>
      <c r="L21" s="25">
        <v>0</v>
      </c>
      <c r="M21" s="6"/>
      <c r="N21" s="26"/>
      <c r="O21" s="6" t="s">
        <v>155</v>
      </c>
      <c r="P21" s="6"/>
      <c r="Q21" s="6" t="s">
        <v>182</v>
      </c>
    </row>
    <row r="22" ht="27">
      <c r="A22" s="6" t="s">
        <v>210</v>
      </c>
      <c r="B22" s="25">
        <v>2</v>
      </c>
      <c r="C22" s="6" t="s">
        <v>178</v>
      </c>
      <c r="D22" s="6" t="s">
        <v>211</v>
      </c>
      <c r="E22" s="6" t="s">
        <v>212</v>
      </c>
      <c r="F22" s="6" t="s">
        <v>181</v>
      </c>
      <c r="G22" s="25">
        <v>3</v>
      </c>
      <c r="H22" s="6" t="s">
        <v>167</v>
      </c>
      <c r="I22" s="6" t="s">
        <v>160</v>
      </c>
      <c r="J22" s="6" t="s">
        <v>207</v>
      </c>
      <c r="K22" s="6" t="s">
        <v>21</v>
      </c>
      <c r="L22" s="25">
        <v>0</v>
      </c>
      <c r="M22" s="6"/>
      <c r="N22" s="26"/>
      <c r="O22" s="6" t="s">
        <v>155</v>
      </c>
      <c r="P22" s="6"/>
      <c r="Q22" s="6" t="s">
        <v>182</v>
      </c>
    </row>
    <row r="23" ht="27">
      <c r="A23" s="6" t="s">
        <v>213</v>
      </c>
      <c r="B23" s="25">
        <v>2</v>
      </c>
      <c r="C23" s="6" t="s">
        <v>178</v>
      </c>
      <c r="D23" s="6" t="s">
        <v>214</v>
      </c>
      <c r="E23" s="6" t="s">
        <v>215</v>
      </c>
      <c r="F23" s="6" t="s">
        <v>181</v>
      </c>
      <c r="G23" s="25">
        <v>3</v>
      </c>
      <c r="H23" s="6" t="s">
        <v>167</v>
      </c>
      <c r="I23" s="6" t="s">
        <v>160</v>
      </c>
      <c r="J23" s="6" t="s">
        <v>210</v>
      </c>
      <c r="K23" s="6" t="s">
        <v>21</v>
      </c>
      <c r="L23" s="25">
        <v>0</v>
      </c>
      <c r="M23" s="6"/>
      <c r="N23" s="26"/>
      <c r="O23" s="6" t="s">
        <v>155</v>
      </c>
      <c r="P23" s="6"/>
      <c r="Q23" s="6" t="s">
        <v>182</v>
      </c>
    </row>
    <row r="24" ht="27">
      <c r="A24" s="6" t="s">
        <v>216</v>
      </c>
      <c r="B24" s="25">
        <v>3</v>
      </c>
      <c r="C24" s="6" t="s">
        <v>217</v>
      </c>
      <c r="D24" s="6" t="s">
        <v>218</v>
      </c>
      <c r="E24" s="6" t="s">
        <v>219</v>
      </c>
      <c r="F24" s="6" t="s">
        <v>181</v>
      </c>
      <c r="G24" s="25">
        <v>4</v>
      </c>
      <c r="H24" s="6" t="s">
        <v>220</v>
      </c>
      <c r="I24" s="6" t="s">
        <v>154</v>
      </c>
      <c r="J24" s="6"/>
      <c r="K24" s="6" t="s">
        <v>21</v>
      </c>
      <c r="L24" s="25">
        <v>0</v>
      </c>
      <c r="M24" s="6"/>
      <c r="N24" s="26"/>
      <c r="O24" s="6" t="s">
        <v>155</v>
      </c>
      <c r="P24" s="6"/>
      <c r="Q24" s="6" t="s">
        <v>221</v>
      </c>
    </row>
    <row r="25" ht="27">
      <c r="A25" s="6" t="s">
        <v>222</v>
      </c>
      <c r="B25" s="25">
        <v>3</v>
      </c>
      <c r="C25" s="6" t="s">
        <v>217</v>
      </c>
      <c r="D25" s="6" t="s">
        <v>223</v>
      </c>
      <c r="E25" s="6" t="s">
        <v>224</v>
      </c>
      <c r="F25" s="6" t="s">
        <v>181</v>
      </c>
      <c r="G25" s="25">
        <v>4</v>
      </c>
      <c r="H25" s="6" t="s">
        <v>220</v>
      </c>
      <c r="I25" s="6" t="s">
        <v>154</v>
      </c>
      <c r="J25" s="6" t="s">
        <v>216</v>
      </c>
      <c r="K25" s="6" t="s">
        <v>21</v>
      </c>
      <c r="L25" s="25">
        <v>0</v>
      </c>
      <c r="M25" s="6"/>
      <c r="N25" s="26"/>
      <c r="O25" s="6" t="s">
        <v>155</v>
      </c>
      <c r="P25" s="6"/>
      <c r="Q25" s="6" t="s">
        <v>221</v>
      </c>
    </row>
    <row r="26" ht="27">
      <c r="A26" s="6" t="s">
        <v>225</v>
      </c>
      <c r="B26" s="25">
        <v>3</v>
      </c>
      <c r="C26" s="6" t="s">
        <v>217</v>
      </c>
      <c r="D26" s="6" t="s">
        <v>226</v>
      </c>
      <c r="E26" s="6" t="s">
        <v>227</v>
      </c>
      <c r="F26" s="6" t="s">
        <v>181</v>
      </c>
      <c r="G26" s="25">
        <v>4</v>
      </c>
      <c r="H26" s="6" t="s">
        <v>220</v>
      </c>
      <c r="I26" s="6" t="s">
        <v>154</v>
      </c>
      <c r="J26" s="6" t="s">
        <v>222</v>
      </c>
      <c r="K26" s="6" t="s">
        <v>21</v>
      </c>
      <c r="L26" s="25">
        <v>0</v>
      </c>
      <c r="M26" s="6"/>
      <c r="N26" s="26"/>
      <c r="O26" s="6" t="s">
        <v>155</v>
      </c>
      <c r="P26" s="6"/>
      <c r="Q26" s="6" t="s">
        <v>221</v>
      </c>
    </row>
    <row r="27" ht="27">
      <c r="A27" s="6" t="s">
        <v>228</v>
      </c>
      <c r="B27" s="25">
        <v>3</v>
      </c>
      <c r="C27" s="6" t="s">
        <v>217</v>
      </c>
      <c r="D27" s="6" t="s">
        <v>229</v>
      </c>
      <c r="E27" s="6" t="s">
        <v>230</v>
      </c>
      <c r="F27" s="6" t="s">
        <v>181</v>
      </c>
      <c r="G27" s="25">
        <v>6</v>
      </c>
      <c r="H27" s="6" t="s">
        <v>231</v>
      </c>
      <c r="I27" s="6" t="s">
        <v>154</v>
      </c>
      <c r="J27" s="6" t="s">
        <v>225</v>
      </c>
      <c r="K27" s="6" t="s">
        <v>21</v>
      </c>
      <c r="L27" s="25">
        <v>0</v>
      </c>
      <c r="M27" s="6"/>
      <c r="N27" s="26"/>
      <c r="O27" s="6" t="s">
        <v>155</v>
      </c>
      <c r="P27" s="6"/>
      <c r="Q27" s="6" t="s">
        <v>221</v>
      </c>
    </row>
    <row r="28" ht="27">
      <c r="A28" s="6" t="s">
        <v>232</v>
      </c>
      <c r="B28" s="25">
        <v>3</v>
      </c>
      <c r="C28" s="6" t="s">
        <v>217</v>
      </c>
      <c r="D28" s="6" t="s">
        <v>233</v>
      </c>
      <c r="E28" s="6" t="s">
        <v>234</v>
      </c>
      <c r="F28" s="6" t="s">
        <v>181</v>
      </c>
      <c r="G28" s="25">
        <v>4</v>
      </c>
      <c r="H28" s="6" t="s">
        <v>220</v>
      </c>
      <c r="I28" s="6" t="s">
        <v>154</v>
      </c>
      <c r="J28" s="6" t="s">
        <v>228</v>
      </c>
      <c r="K28" s="6" t="s">
        <v>21</v>
      </c>
      <c r="L28" s="25">
        <v>0</v>
      </c>
      <c r="M28" s="6"/>
      <c r="N28" s="26"/>
      <c r="O28" s="6" t="s">
        <v>155</v>
      </c>
      <c r="P28" s="6"/>
      <c r="Q28" s="6" t="s">
        <v>221</v>
      </c>
    </row>
    <row r="29" ht="27">
      <c r="A29" s="6" t="s">
        <v>235</v>
      </c>
      <c r="B29" s="25">
        <v>3</v>
      </c>
      <c r="C29" s="6" t="s">
        <v>217</v>
      </c>
      <c r="D29" s="6" t="s">
        <v>236</v>
      </c>
      <c r="E29" s="6" t="s">
        <v>237</v>
      </c>
      <c r="F29" s="6" t="s">
        <v>181</v>
      </c>
      <c r="G29" s="25">
        <v>4</v>
      </c>
      <c r="H29" s="6" t="s">
        <v>220</v>
      </c>
      <c r="I29" s="6" t="s">
        <v>154</v>
      </c>
      <c r="J29" s="6" t="s">
        <v>232</v>
      </c>
      <c r="K29" s="6" t="s">
        <v>21</v>
      </c>
      <c r="L29" s="25">
        <v>0</v>
      </c>
      <c r="M29" s="6"/>
      <c r="N29" s="26"/>
      <c r="O29" s="6" t="s">
        <v>155</v>
      </c>
      <c r="P29" s="6"/>
      <c r="Q29" s="6" t="s">
        <v>221</v>
      </c>
    </row>
    <row r="30" ht="27">
      <c r="A30" s="6" t="s">
        <v>238</v>
      </c>
      <c r="B30" s="25">
        <v>3</v>
      </c>
      <c r="C30" s="6" t="s">
        <v>217</v>
      </c>
      <c r="D30" s="6" t="s">
        <v>239</v>
      </c>
      <c r="E30" s="6" t="s">
        <v>240</v>
      </c>
      <c r="F30" s="6" t="s">
        <v>181</v>
      </c>
      <c r="G30" s="25">
        <v>4</v>
      </c>
      <c r="H30" s="6" t="s">
        <v>220</v>
      </c>
      <c r="I30" s="6" t="s">
        <v>154</v>
      </c>
      <c r="J30" s="6" t="s">
        <v>235</v>
      </c>
      <c r="K30" s="6" t="s">
        <v>21</v>
      </c>
      <c r="L30" s="25">
        <v>0</v>
      </c>
      <c r="M30" s="6"/>
      <c r="N30" s="26"/>
      <c r="O30" s="6" t="s">
        <v>155</v>
      </c>
      <c r="P30" s="6"/>
      <c r="Q30" s="6" t="s">
        <v>221</v>
      </c>
    </row>
    <row r="31" ht="27">
      <c r="A31" s="6" t="s">
        <v>241</v>
      </c>
      <c r="B31" s="25">
        <v>3</v>
      </c>
      <c r="C31" s="6" t="s">
        <v>217</v>
      </c>
      <c r="D31" s="6" t="s">
        <v>242</v>
      </c>
      <c r="E31" s="6" t="s">
        <v>243</v>
      </c>
      <c r="F31" s="6" t="s">
        <v>181</v>
      </c>
      <c r="G31" s="25">
        <v>6</v>
      </c>
      <c r="H31" s="6" t="s">
        <v>231</v>
      </c>
      <c r="I31" s="6" t="s">
        <v>154</v>
      </c>
      <c r="J31" s="6" t="s">
        <v>238</v>
      </c>
      <c r="K31" s="6" t="s">
        <v>21</v>
      </c>
      <c r="L31" s="25">
        <v>0</v>
      </c>
      <c r="M31" s="6"/>
      <c r="N31" s="26"/>
      <c r="O31" s="6" t="s">
        <v>155</v>
      </c>
      <c r="P31" s="6"/>
      <c r="Q31" s="6" t="s">
        <v>221</v>
      </c>
    </row>
    <row r="32" ht="40.5">
      <c r="A32" s="6" t="s">
        <v>244</v>
      </c>
      <c r="B32" s="25">
        <v>3</v>
      </c>
      <c r="C32" s="6" t="s">
        <v>217</v>
      </c>
      <c r="D32" s="6" t="s">
        <v>245</v>
      </c>
      <c r="E32" s="6" t="s">
        <v>246</v>
      </c>
      <c r="F32" s="6" t="s">
        <v>181</v>
      </c>
      <c r="G32" s="25">
        <v>4</v>
      </c>
      <c r="H32" s="6" t="s">
        <v>220</v>
      </c>
      <c r="I32" s="6" t="s">
        <v>154</v>
      </c>
      <c r="J32" s="6" t="s">
        <v>241</v>
      </c>
      <c r="K32" s="6" t="s">
        <v>21</v>
      </c>
      <c r="L32" s="25">
        <v>0</v>
      </c>
      <c r="M32" s="6"/>
      <c r="N32" s="26"/>
      <c r="O32" s="6" t="s">
        <v>155</v>
      </c>
      <c r="P32" s="6"/>
      <c r="Q32" s="6" t="s">
        <v>221</v>
      </c>
    </row>
    <row r="33" ht="27">
      <c r="A33" s="6" t="s">
        <v>247</v>
      </c>
      <c r="B33" s="25">
        <v>3</v>
      </c>
      <c r="C33" s="6" t="s">
        <v>217</v>
      </c>
      <c r="D33" s="6" t="s">
        <v>248</v>
      </c>
      <c r="E33" s="6" t="s">
        <v>249</v>
      </c>
      <c r="F33" s="6" t="s">
        <v>181</v>
      </c>
      <c r="G33" s="25">
        <v>4</v>
      </c>
      <c r="H33" s="6" t="s">
        <v>220</v>
      </c>
      <c r="I33" s="6" t="s">
        <v>154</v>
      </c>
      <c r="J33" s="6" t="s">
        <v>244</v>
      </c>
      <c r="K33" s="6" t="s">
        <v>21</v>
      </c>
      <c r="L33" s="25">
        <v>0</v>
      </c>
      <c r="M33" s="6"/>
      <c r="N33" s="26"/>
      <c r="O33" s="6" t="s">
        <v>155</v>
      </c>
      <c r="P33" s="6"/>
      <c r="Q33" s="6" t="s">
        <v>221</v>
      </c>
    </row>
    <row r="34" ht="27">
      <c r="A34" s="6" t="s">
        <v>250</v>
      </c>
      <c r="B34" s="25">
        <v>3</v>
      </c>
      <c r="C34" s="6" t="s">
        <v>217</v>
      </c>
      <c r="D34" s="6" t="s">
        <v>251</v>
      </c>
      <c r="E34" s="6" t="s">
        <v>252</v>
      </c>
      <c r="F34" s="6" t="s">
        <v>181</v>
      </c>
      <c r="G34" s="25">
        <v>4</v>
      </c>
      <c r="H34" s="6" t="s">
        <v>220</v>
      </c>
      <c r="I34" s="6" t="s">
        <v>154</v>
      </c>
      <c r="J34" s="6" t="s">
        <v>247</v>
      </c>
      <c r="K34" s="6" t="s">
        <v>21</v>
      </c>
      <c r="L34" s="25">
        <v>0</v>
      </c>
      <c r="M34" s="6"/>
      <c r="N34" s="26"/>
      <c r="O34" s="6" t="s">
        <v>155</v>
      </c>
      <c r="P34" s="6"/>
      <c r="Q34" s="6" t="s">
        <v>221</v>
      </c>
    </row>
    <row r="35" ht="27">
      <c r="A35" s="6" t="s">
        <v>253</v>
      </c>
      <c r="B35" s="25">
        <v>3</v>
      </c>
      <c r="C35" s="6" t="s">
        <v>217</v>
      </c>
      <c r="D35" s="6" t="s">
        <v>254</v>
      </c>
      <c r="E35" s="6" t="s">
        <v>255</v>
      </c>
      <c r="F35" s="6" t="s">
        <v>181</v>
      </c>
      <c r="G35" s="25">
        <v>6</v>
      </c>
      <c r="H35" s="6" t="s">
        <v>231</v>
      </c>
      <c r="I35" s="6" t="s">
        <v>154</v>
      </c>
      <c r="J35" s="6" t="s">
        <v>250</v>
      </c>
      <c r="K35" s="6" t="s">
        <v>21</v>
      </c>
      <c r="L35" s="25">
        <v>0</v>
      </c>
      <c r="M35" s="6"/>
      <c r="N35" s="26"/>
      <c r="O35" s="6" t="s">
        <v>155</v>
      </c>
      <c r="P35" s="6"/>
      <c r="Q35" s="6" t="s">
        <v>221</v>
      </c>
    </row>
    <row r="36" ht="27">
      <c r="A36" s="6" t="s">
        <v>256</v>
      </c>
      <c r="B36" s="25">
        <v>3</v>
      </c>
      <c r="C36" s="6" t="s">
        <v>217</v>
      </c>
      <c r="D36" s="6" t="s">
        <v>257</v>
      </c>
      <c r="E36" s="6" t="s">
        <v>258</v>
      </c>
      <c r="F36" s="6" t="s">
        <v>181</v>
      </c>
      <c r="G36" s="25">
        <v>4</v>
      </c>
      <c r="H36" s="6" t="s">
        <v>220</v>
      </c>
      <c r="I36" s="6" t="s">
        <v>154</v>
      </c>
      <c r="J36" s="6" t="s">
        <v>253</v>
      </c>
      <c r="K36" s="6" t="s">
        <v>21</v>
      </c>
      <c r="L36" s="25">
        <v>0</v>
      </c>
      <c r="M36" s="6"/>
      <c r="N36" s="26"/>
      <c r="O36" s="6" t="s">
        <v>155</v>
      </c>
      <c r="P36" s="6"/>
      <c r="Q36" s="6" t="s">
        <v>221</v>
      </c>
    </row>
    <row r="37" ht="40.5">
      <c r="A37" s="6" t="s">
        <v>259</v>
      </c>
      <c r="B37" s="25">
        <v>3</v>
      </c>
      <c r="C37" s="6" t="s">
        <v>217</v>
      </c>
      <c r="D37" s="6" t="s">
        <v>260</v>
      </c>
      <c r="E37" s="6" t="s">
        <v>261</v>
      </c>
      <c r="F37" s="6" t="s">
        <v>181</v>
      </c>
      <c r="G37" s="25">
        <v>4</v>
      </c>
      <c r="H37" s="6" t="s">
        <v>220</v>
      </c>
      <c r="I37" s="6" t="s">
        <v>154</v>
      </c>
      <c r="J37" s="6" t="s">
        <v>256</v>
      </c>
      <c r="K37" s="6" t="s">
        <v>21</v>
      </c>
      <c r="L37" s="25">
        <v>0</v>
      </c>
      <c r="M37" s="6"/>
      <c r="N37" s="26"/>
      <c r="O37" s="6" t="s">
        <v>155</v>
      </c>
      <c r="P37" s="6"/>
      <c r="Q37" s="6" t="s">
        <v>221</v>
      </c>
    </row>
    <row r="38" ht="27">
      <c r="A38" s="6" t="s">
        <v>262</v>
      </c>
      <c r="B38" s="25">
        <v>4</v>
      </c>
      <c r="C38" s="6" t="s">
        <v>263</v>
      </c>
      <c r="D38" s="6" t="s">
        <v>264</v>
      </c>
      <c r="E38" s="6" t="s">
        <v>265</v>
      </c>
      <c r="F38" s="6" t="s">
        <v>181</v>
      </c>
      <c r="G38" s="25">
        <v>4</v>
      </c>
      <c r="H38" s="6" t="s">
        <v>220</v>
      </c>
      <c r="I38" s="6" t="s">
        <v>154</v>
      </c>
      <c r="J38" s="6"/>
      <c r="K38" s="6" t="s">
        <v>21</v>
      </c>
      <c r="L38" s="25">
        <v>0</v>
      </c>
      <c r="M38" s="6"/>
      <c r="N38" s="26"/>
      <c r="O38" s="6" t="s">
        <v>155</v>
      </c>
      <c r="P38" s="6"/>
      <c r="Q38" s="6" t="s">
        <v>266</v>
      </c>
    </row>
    <row r="39" ht="27">
      <c r="A39" s="6" t="s">
        <v>267</v>
      </c>
      <c r="B39" s="25">
        <v>4</v>
      </c>
      <c r="C39" s="6" t="s">
        <v>263</v>
      </c>
      <c r="D39" s="6" t="s">
        <v>268</v>
      </c>
      <c r="E39" s="6" t="s">
        <v>269</v>
      </c>
      <c r="F39" s="6" t="s">
        <v>181</v>
      </c>
      <c r="G39" s="25">
        <v>4</v>
      </c>
      <c r="H39" s="6" t="s">
        <v>220</v>
      </c>
      <c r="I39" s="6" t="s">
        <v>160</v>
      </c>
      <c r="J39" s="6" t="s">
        <v>262</v>
      </c>
      <c r="K39" s="6" t="s">
        <v>21</v>
      </c>
      <c r="L39" s="25">
        <v>0</v>
      </c>
      <c r="M39" s="6"/>
      <c r="N39" s="26"/>
      <c r="O39" s="6" t="s">
        <v>155</v>
      </c>
      <c r="P39" s="6"/>
      <c r="Q39" s="6" t="s">
        <v>266</v>
      </c>
    </row>
    <row r="40" ht="27">
      <c r="A40" s="6" t="s">
        <v>270</v>
      </c>
      <c r="B40" s="25">
        <v>4</v>
      </c>
      <c r="C40" s="6" t="s">
        <v>263</v>
      </c>
      <c r="D40" s="6" t="s">
        <v>271</v>
      </c>
      <c r="E40" s="6" t="s">
        <v>272</v>
      </c>
      <c r="F40" s="6" t="s">
        <v>181</v>
      </c>
      <c r="G40" s="25">
        <v>4</v>
      </c>
      <c r="H40" s="6" t="s">
        <v>220</v>
      </c>
      <c r="I40" s="6" t="s">
        <v>160</v>
      </c>
      <c r="J40" s="6" t="s">
        <v>267</v>
      </c>
      <c r="K40" s="6" t="s">
        <v>21</v>
      </c>
      <c r="L40" s="25">
        <v>0</v>
      </c>
      <c r="M40" s="6"/>
      <c r="N40" s="26"/>
      <c r="O40" s="6" t="s">
        <v>155</v>
      </c>
      <c r="P40" s="6"/>
      <c r="Q40" s="6" t="s">
        <v>266</v>
      </c>
    </row>
    <row r="41" ht="27">
      <c r="A41" s="6" t="s">
        <v>273</v>
      </c>
      <c r="B41" s="25">
        <v>4</v>
      </c>
      <c r="C41" s="6" t="s">
        <v>263</v>
      </c>
      <c r="D41" s="6" t="s">
        <v>274</v>
      </c>
      <c r="E41" s="6" t="s">
        <v>275</v>
      </c>
      <c r="F41" s="6" t="s">
        <v>181</v>
      </c>
      <c r="G41" s="25">
        <v>6</v>
      </c>
      <c r="H41" s="6" t="s">
        <v>231</v>
      </c>
      <c r="I41" s="6" t="s">
        <v>154</v>
      </c>
      <c r="J41" s="6" t="s">
        <v>270</v>
      </c>
      <c r="K41" s="6" t="s">
        <v>21</v>
      </c>
      <c r="L41" s="25">
        <v>0</v>
      </c>
      <c r="M41" s="6"/>
      <c r="N41" s="26"/>
      <c r="O41" s="6" t="s">
        <v>155</v>
      </c>
      <c r="P41" s="6"/>
      <c r="Q41" s="6" t="s">
        <v>266</v>
      </c>
    </row>
    <row r="42" ht="27">
      <c r="A42" s="6" t="s">
        <v>276</v>
      </c>
      <c r="B42" s="25">
        <v>4</v>
      </c>
      <c r="C42" s="6" t="s">
        <v>263</v>
      </c>
      <c r="D42" s="6" t="s">
        <v>277</v>
      </c>
      <c r="E42" s="6" t="s">
        <v>278</v>
      </c>
      <c r="F42" s="6" t="s">
        <v>181</v>
      </c>
      <c r="G42" s="25">
        <v>4</v>
      </c>
      <c r="H42" s="6" t="s">
        <v>220</v>
      </c>
      <c r="I42" s="6" t="s">
        <v>160</v>
      </c>
      <c r="J42" s="6" t="s">
        <v>273</v>
      </c>
      <c r="K42" s="6" t="s">
        <v>21</v>
      </c>
      <c r="L42" s="25">
        <v>0</v>
      </c>
      <c r="M42" s="6"/>
      <c r="N42" s="26"/>
      <c r="O42" s="6" t="s">
        <v>155</v>
      </c>
      <c r="P42" s="6"/>
      <c r="Q42" s="6" t="s">
        <v>266</v>
      </c>
    </row>
    <row r="43" ht="27">
      <c r="A43" s="6" t="s">
        <v>279</v>
      </c>
      <c r="B43" s="25">
        <v>4</v>
      </c>
      <c r="C43" s="6" t="s">
        <v>263</v>
      </c>
      <c r="D43" s="6" t="s">
        <v>280</v>
      </c>
      <c r="E43" s="6" t="s">
        <v>281</v>
      </c>
      <c r="F43" s="6" t="s">
        <v>181</v>
      </c>
      <c r="G43" s="25">
        <v>4</v>
      </c>
      <c r="H43" s="6" t="s">
        <v>220</v>
      </c>
      <c r="I43" s="6" t="s">
        <v>160</v>
      </c>
      <c r="J43" s="6" t="s">
        <v>276</v>
      </c>
      <c r="K43" s="6" t="s">
        <v>21</v>
      </c>
      <c r="L43" s="25">
        <v>0</v>
      </c>
      <c r="M43" s="6"/>
      <c r="N43" s="26"/>
      <c r="O43" s="6" t="s">
        <v>155</v>
      </c>
      <c r="P43" s="6"/>
      <c r="Q43" s="6" t="s">
        <v>266</v>
      </c>
    </row>
    <row r="44" ht="27">
      <c r="A44" s="6" t="s">
        <v>282</v>
      </c>
      <c r="B44" s="25">
        <v>4</v>
      </c>
      <c r="C44" s="6" t="s">
        <v>263</v>
      </c>
      <c r="D44" s="6" t="s">
        <v>283</v>
      </c>
      <c r="E44" s="6" t="s">
        <v>284</v>
      </c>
      <c r="F44" s="6" t="s">
        <v>181</v>
      </c>
      <c r="G44" s="25">
        <v>4</v>
      </c>
      <c r="H44" s="6" t="s">
        <v>220</v>
      </c>
      <c r="I44" s="6" t="s">
        <v>154</v>
      </c>
      <c r="J44" s="6" t="s">
        <v>279</v>
      </c>
      <c r="K44" s="6" t="s">
        <v>21</v>
      </c>
      <c r="L44" s="25">
        <v>0</v>
      </c>
      <c r="M44" s="6"/>
      <c r="N44" s="26"/>
      <c r="O44" s="6" t="s">
        <v>155</v>
      </c>
      <c r="P44" s="6"/>
      <c r="Q44" s="6" t="s">
        <v>266</v>
      </c>
    </row>
    <row r="45" ht="27">
      <c r="A45" s="6" t="s">
        <v>285</v>
      </c>
      <c r="B45" s="25">
        <v>4</v>
      </c>
      <c r="C45" s="6" t="s">
        <v>263</v>
      </c>
      <c r="D45" s="6" t="s">
        <v>286</v>
      </c>
      <c r="E45" s="6" t="s">
        <v>287</v>
      </c>
      <c r="F45" s="6" t="s">
        <v>181</v>
      </c>
      <c r="G45" s="25">
        <v>6</v>
      </c>
      <c r="H45" s="6" t="s">
        <v>231</v>
      </c>
      <c r="I45" s="6" t="s">
        <v>160</v>
      </c>
      <c r="J45" s="6" t="s">
        <v>282</v>
      </c>
      <c r="K45" s="6" t="s">
        <v>21</v>
      </c>
      <c r="L45" s="25">
        <v>0</v>
      </c>
      <c r="M45" s="6"/>
      <c r="N45" s="26"/>
      <c r="O45" s="6" t="s">
        <v>155</v>
      </c>
      <c r="P45" s="6"/>
      <c r="Q45" s="6" t="s">
        <v>266</v>
      </c>
    </row>
    <row r="46" ht="27">
      <c r="A46" s="6" t="s">
        <v>288</v>
      </c>
      <c r="B46" s="25">
        <v>4</v>
      </c>
      <c r="C46" s="6" t="s">
        <v>263</v>
      </c>
      <c r="D46" s="6" t="s">
        <v>289</v>
      </c>
      <c r="E46" s="6" t="s">
        <v>290</v>
      </c>
      <c r="F46" s="6" t="s">
        <v>181</v>
      </c>
      <c r="G46" s="25">
        <v>4</v>
      </c>
      <c r="H46" s="6" t="s">
        <v>220</v>
      </c>
      <c r="I46" s="6" t="s">
        <v>160</v>
      </c>
      <c r="J46" s="6" t="s">
        <v>285</v>
      </c>
      <c r="K46" s="6" t="s">
        <v>21</v>
      </c>
      <c r="L46" s="25">
        <v>0</v>
      </c>
      <c r="M46" s="6"/>
      <c r="N46" s="26"/>
      <c r="O46" s="6" t="s">
        <v>155</v>
      </c>
      <c r="P46" s="6"/>
      <c r="Q46" s="6" t="s">
        <v>266</v>
      </c>
    </row>
    <row r="47" ht="27">
      <c r="A47" s="6" t="s">
        <v>291</v>
      </c>
      <c r="B47" s="25">
        <v>4</v>
      </c>
      <c r="C47" s="6" t="s">
        <v>263</v>
      </c>
      <c r="D47" s="6" t="s">
        <v>292</v>
      </c>
      <c r="E47" s="6" t="s">
        <v>293</v>
      </c>
      <c r="F47" s="6" t="s">
        <v>181</v>
      </c>
      <c r="G47" s="25">
        <v>4</v>
      </c>
      <c r="H47" s="6" t="s">
        <v>220</v>
      </c>
      <c r="I47" s="6" t="s">
        <v>154</v>
      </c>
      <c r="J47" s="6" t="s">
        <v>288</v>
      </c>
      <c r="K47" s="6" t="s">
        <v>21</v>
      </c>
      <c r="L47" s="25">
        <v>0</v>
      </c>
      <c r="M47" s="6"/>
      <c r="N47" s="26"/>
      <c r="O47" s="6" t="s">
        <v>155</v>
      </c>
      <c r="P47" s="6"/>
      <c r="Q47" s="6" t="s">
        <v>266</v>
      </c>
    </row>
    <row r="48" ht="27">
      <c r="A48" s="6" t="s">
        <v>294</v>
      </c>
      <c r="B48" s="25">
        <v>5</v>
      </c>
      <c r="C48" s="6" t="s">
        <v>295</v>
      </c>
      <c r="D48" s="6" t="s">
        <v>296</v>
      </c>
      <c r="E48" s="6" t="s">
        <v>297</v>
      </c>
      <c r="F48" s="6" t="s">
        <v>181</v>
      </c>
      <c r="G48" s="25">
        <v>4</v>
      </c>
      <c r="H48" s="6" t="s">
        <v>220</v>
      </c>
      <c r="I48" s="6" t="s">
        <v>154</v>
      </c>
      <c r="J48" s="6"/>
      <c r="K48" s="6" t="s">
        <v>21</v>
      </c>
      <c r="L48" s="25">
        <v>0</v>
      </c>
      <c r="M48" s="6"/>
      <c r="N48" s="26"/>
      <c r="O48" s="6" t="s">
        <v>155</v>
      </c>
      <c r="P48" s="6"/>
      <c r="Q48" s="6" t="s">
        <v>298</v>
      </c>
    </row>
    <row r="49" ht="27">
      <c r="A49" s="6" t="s">
        <v>299</v>
      </c>
      <c r="B49" s="25">
        <v>5</v>
      </c>
      <c r="C49" s="6" t="s">
        <v>295</v>
      </c>
      <c r="D49" s="6" t="s">
        <v>300</v>
      </c>
      <c r="E49" s="6" t="s">
        <v>301</v>
      </c>
      <c r="F49" s="6" t="s">
        <v>181</v>
      </c>
      <c r="G49" s="25">
        <v>4</v>
      </c>
      <c r="H49" s="6" t="s">
        <v>220</v>
      </c>
      <c r="I49" s="6" t="s">
        <v>154</v>
      </c>
      <c r="J49" s="6" t="s">
        <v>294</v>
      </c>
      <c r="K49" s="6" t="s">
        <v>21</v>
      </c>
      <c r="L49" s="25">
        <v>0</v>
      </c>
      <c r="M49" s="6"/>
      <c r="N49" s="26"/>
      <c r="O49" s="6" t="s">
        <v>155</v>
      </c>
      <c r="P49" s="6"/>
      <c r="Q49" s="6" t="s">
        <v>298</v>
      </c>
    </row>
    <row r="50" ht="27">
      <c r="A50" s="6" t="s">
        <v>302</v>
      </c>
      <c r="B50" s="25">
        <v>5</v>
      </c>
      <c r="C50" s="6" t="s">
        <v>295</v>
      </c>
      <c r="D50" s="6" t="s">
        <v>303</v>
      </c>
      <c r="E50" s="6" t="s">
        <v>304</v>
      </c>
      <c r="F50" s="6" t="s">
        <v>181</v>
      </c>
      <c r="G50" s="25">
        <v>4</v>
      </c>
      <c r="H50" s="6" t="s">
        <v>220</v>
      </c>
      <c r="I50" s="6" t="s">
        <v>154</v>
      </c>
      <c r="J50" s="6" t="s">
        <v>299</v>
      </c>
      <c r="K50" s="6" t="s">
        <v>21</v>
      </c>
      <c r="L50" s="25">
        <v>0</v>
      </c>
      <c r="M50" s="6"/>
      <c r="N50" s="26"/>
      <c r="O50" s="6" t="s">
        <v>155</v>
      </c>
      <c r="P50" s="6"/>
      <c r="Q50" s="6" t="s">
        <v>298</v>
      </c>
    </row>
    <row r="51" ht="27">
      <c r="A51" s="6" t="s">
        <v>305</v>
      </c>
      <c r="B51" s="25">
        <v>5</v>
      </c>
      <c r="C51" s="6" t="s">
        <v>295</v>
      </c>
      <c r="D51" s="6" t="s">
        <v>306</v>
      </c>
      <c r="E51" s="6" t="s">
        <v>307</v>
      </c>
      <c r="F51" s="6" t="s">
        <v>181</v>
      </c>
      <c r="G51" s="25">
        <v>6</v>
      </c>
      <c r="H51" s="6" t="s">
        <v>231</v>
      </c>
      <c r="I51" s="6" t="s">
        <v>154</v>
      </c>
      <c r="J51" s="6" t="s">
        <v>302</v>
      </c>
      <c r="K51" s="6" t="s">
        <v>21</v>
      </c>
      <c r="L51" s="25">
        <v>0</v>
      </c>
      <c r="M51" s="6"/>
      <c r="N51" s="26"/>
      <c r="O51" s="6" t="s">
        <v>155</v>
      </c>
      <c r="P51" s="6"/>
      <c r="Q51" s="6" t="s">
        <v>298</v>
      </c>
    </row>
    <row r="52" ht="27">
      <c r="A52" s="6" t="s">
        <v>308</v>
      </c>
      <c r="B52" s="25">
        <v>5</v>
      </c>
      <c r="C52" s="6" t="s">
        <v>295</v>
      </c>
      <c r="D52" s="6" t="s">
        <v>309</v>
      </c>
      <c r="E52" s="6" t="s">
        <v>310</v>
      </c>
      <c r="F52" s="6" t="s">
        <v>181</v>
      </c>
      <c r="G52" s="25">
        <v>4</v>
      </c>
      <c r="H52" s="6" t="s">
        <v>220</v>
      </c>
      <c r="I52" s="6" t="s">
        <v>154</v>
      </c>
      <c r="J52" s="6" t="s">
        <v>305</v>
      </c>
      <c r="K52" s="6" t="s">
        <v>21</v>
      </c>
      <c r="L52" s="25">
        <v>0</v>
      </c>
      <c r="M52" s="6"/>
      <c r="N52" s="26"/>
      <c r="O52" s="6" t="s">
        <v>155</v>
      </c>
      <c r="P52" s="6"/>
      <c r="Q52" s="6" t="s">
        <v>298</v>
      </c>
    </row>
    <row r="53" ht="27">
      <c r="A53" s="6" t="s">
        <v>311</v>
      </c>
      <c r="B53" s="25">
        <v>5</v>
      </c>
      <c r="C53" s="6" t="s">
        <v>295</v>
      </c>
      <c r="D53" s="6" t="s">
        <v>312</v>
      </c>
      <c r="E53" s="6" t="s">
        <v>313</v>
      </c>
      <c r="F53" s="6" t="s">
        <v>181</v>
      </c>
      <c r="G53" s="25">
        <v>4</v>
      </c>
      <c r="H53" s="6" t="s">
        <v>220</v>
      </c>
      <c r="I53" s="6" t="s">
        <v>154</v>
      </c>
      <c r="J53" s="6" t="s">
        <v>308</v>
      </c>
      <c r="K53" s="6" t="s">
        <v>21</v>
      </c>
      <c r="L53" s="25">
        <v>0</v>
      </c>
      <c r="M53" s="6"/>
      <c r="N53" s="26"/>
      <c r="O53" s="6" t="s">
        <v>155</v>
      </c>
      <c r="P53" s="6"/>
      <c r="Q53" s="6" t="s">
        <v>298</v>
      </c>
    </row>
    <row r="54" ht="27">
      <c r="A54" s="6" t="s">
        <v>314</v>
      </c>
      <c r="B54" s="25">
        <v>5</v>
      </c>
      <c r="C54" s="6" t="s">
        <v>295</v>
      </c>
      <c r="D54" s="6" t="s">
        <v>315</v>
      </c>
      <c r="E54" s="6" t="s">
        <v>316</v>
      </c>
      <c r="F54" s="6" t="s">
        <v>181</v>
      </c>
      <c r="G54" s="25">
        <v>4</v>
      </c>
      <c r="H54" s="6" t="s">
        <v>220</v>
      </c>
      <c r="I54" s="6" t="s">
        <v>154</v>
      </c>
      <c r="J54" s="6" t="s">
        <v>311</v>
      </c>
      <c r="K54" s="6" t="s">
        <v>21</v>
      </c>
      <c r="L54" s="25">
        <v>0</v>
      </c>
      <c r="M54" s="6"/>
      <c r="N54" s="26"/>
      <c r="O54" s="6" t="s">
        <v>155</v>
      </c>
      <c r="P54" s="6"/>
      <c r="Q54" s="6" t="s">
        <v>298</v>
      </c>
    </row>
    <row r="55" ht="27">
      <c r="A55" s="6" t="s">
        <v>317</v>
      </c>
      <c r="B55" s="25">
        <v>5</v>
      </c>
      <c r="C55" s="6" t="s">
        <v>295</v>
      </c>
      <c r="D55" s="6" t="s">
        <v>318</v>
      </c>
      <c r="E55" s="6" t="s">
        <v>319</v>
      </c>
      <c r="F55" s="6" t="s">
        <v>181</v>
      </c>
      <c r="G55" s="25">
        <v>6</v>
      </c>
      <c r="H55" s="6" t="s">
        <v>231</v>
      </c>
      <c r="I55" s="6" t="s">
        <v>154</v>
      </c>
      <c r="J55" s="6" t="s">
        <v>314</v>
      </c>
      <c r="K55" s="6" t="s">
        <v>21</v>
      </c>
      <c r="L55" s="25">
        <v>0</v>
      </c>
      <c r="M55" s="6"/>
      <c r="N55" s="26"/>
      <c r="O55" s="6" t="s">
        <v>155</v>
      </c>
      <c r="P55" s="6"/>
      <c r="Q55" s="6" t="s">
        <v>298</v>
      </c>
    </row>
    <row r="56" ht="27">
      <c r="A56" s="6" t="s">
        <v>320</v>
      </c>
      <c r="B56" s="25">
        <v>5</v>
      </c>
      <c r="C56" s="6" t="s">
        <v>295</v>
      </c>
      <c r="D56" s="6" t="s">
        <v>321</v>
      </c>
      <c r="E56" s="6" t="s">
        <v>322</v>
      </c>
      <c r="F56" s="6" t="s">
        <v>181</v>
      </c>
      <c r="G56" s="25">
        <v>4</v>
      </c>
      <c r="H56" s="6" t="s">
        <v>220</v>
      </c>
      <c r="I56" s="6" t="s">
        <v>154</v>
      </c>
      <c r="J56" s="6" t="s">
        <v>317</v>
      </c>
      <c r="K56" s="6" t="s">
        <v>21</v>
      </c>
      <c r="L56" s="25">
        <v>0</v>
      </c>
      <c r="M56" s="6"/>
      <c r="N56" s="26"/>
      <c r="O56" s="6" t="s">
        <v>155</v>
      </c>
      <c r="P56" s="6"/>
      <c r="Q56" s="6" t="s">
        <v>298</v>
      </c>
    </row>
    <row r="57" ht="27">
      <c r="A57" s="6" t="s">
        <v>323</v>
      </c>
      <c r="B57" s="25">
        <v>5</v>
      </c>
      <c r="C57" s="6" t="s">
        <v>295</v>
      </c>
      <c r="D57" s="6" t="s">
        <v>324</v>
      </c>
      <c r="E57" s="6" t="s">
        <v>325</v>
      </c>
      <c r="F57" s="6" t="s">
        <v>181</v>
      </c>
      <c r="G57" s="25">
        <v>4</v>
      </c>
      <c r="H57" s="6" t="s">
        <v>220</v>
      </c>
      <c r="I57" s="6" t="s">
        <v>154</v>
      </c>
      <c r="J57" s="6" t="s">
        <v>320</v>
      </c>
      <c r="K57" s="6" t="s">
        <v>21</v>
      </c>
      <c r="L57" s="25">
        <v>0</v>
      </c>
      <c r="M57" s="6"/>
      <c r="N57" s="26"/>
      <c r="O57" s="6" t="s">
        <v>155</v>
      </c>
      <c r="P57" s="6"/>
      <c r="Q57" s="6" t="s">
        <v>298</v>
      </c>
    </row>
    <row r="58" ht="27">
      <c r="A58" s="6" t="s">
        <v>326</v>
      </c>
      <c r="B58" s="25">
        <v>5</v>
      </c>
      <c r="C58" s="6" t="s">
        <v>295</v>
      </c>
      <c r="D58" s="6" t="s">
        <v>327</v>
      </c>
      <c r="E58" s="6" t="s">
        <v>328</v>
      </c>
      <c r="F58" s="6" t="s">
        <v>181</v>
      </c>
      <c r="G58" s="25">
        <v>4</v>
      </c>
      <c r="H58" s="6" t="s">
        <v>220</v>
      </c>
      <c r="I58" s="6" t="s">
        <v>154</v>
      </c>
      <c r="J58" s="6" t="s">
        <v>323</v>
      </c>
      <c r="K58" s="6" t="s">
        <v>21</v>
      </c>
      <c r="L58" s="25">
        <v>0</v>
      </c>
      <c r="M58" s="6"/>
      <c r="N58" s="26"/>
      <c r="O58" s="6" t="s">
        <v>155</v>
      </c>
      <c r="P58" s="6"/>
      <c r="Q58" s="6" t="s">
        <v>298</v>
      </c>
    </row>
    <row r="59" ht="27">
      <c r="A59" s="6" t="s">
        <v>329</v>
      </c>
      <c r="B59" s="25">
        <v>5</v>
      </c>
      <c r="C59" s="6" t="s">
        <v>295</v>
      </c>
      <c r="D59" s="6" t="s">
        <v>330</v>
      </c>
      <c r="E59" s="6" t="s">
        <v>331</v>
      </c>
      <c r="F59" s="6" t="s">
        <v>181</v>
      </c>
      <c r="G59" s="25">
        <v>6</v>
      </c>
      <c r="H59" s="6" t="s">
        <v>231</v>
      </c>
      <c r="I59" s="6" t="s">
        <v>154</v>
      </c>
      <c r="J59" s="6" t="s">
        <v>326</v>
      </c>
      <c r="K59" s="6" t="s">
        <v>21</v>
      </c>
      <c r="L59" s="25">
        <v>0</v>
      </c>
      <c r="M59" s="6"/>
      <c r="N59" s="26"/>
      <c r="O59" s="6" t="s">
        <v>155</v>
      </c>
      <c r="P59" s="6"/>
      <c r="Q59" s="6" t="s">
        <v>298</v>
      </c>
    </row>
    <row r="60" ht="27">
      <c r="A60" s="6" t="s">
        <v>332</v>
      </c>
      <c r="B60" s="25">
        <v>5</v>
      </c>
      <c r="C60" s="6" t="s">
        <v>295</v>
      </c>
      <c r="D60" s="6" t="s">
        <v>333</v>
      </c>
      <c r="E60" s="6" t="s">
        <v>334</v>
      </c>
      <c r="F60" s="6" t="s">
        <v>181</v>
      </c>
      <c r="G60" s="25">
        <v>4</v>
      </c>
      <c r="H60" s="6" t="s">
        <v>220</v>
      </c>
      <c r="I60" s="6" t="s">
        <v>154</v>
      </c>
      <c r="J60" s="6" t="s">
        <v>329</v>
      </c>
      <c r="K60" s="6" t="s">
        <v>21</v>
      </c>
      <c r="L60" s="25">
        <v>0</v>
      </c>
      <c r="M60" s="6"/>
      <c r="N60" s="26"/>
      <c r="O60" s="6" t="s">
        <v>155</v>
      </c>
      <c r="P60" s="6"/>
      <c r="Q60" s="6" t="s">
        <v>298</v>
      </c>
    </row>
    <row r="61" ht="27">
      <c r="A61" s="6" t="s">
        <v>335</v>
      </c>
      <c r="B61" s="25">
        <v>6</v>
      </c>
      <c r="C61" s="6" t="s">
        <v>336</v>
      </c>
      <c r="D61" s="6" t="s">
        <v>337</v>
      </c>
      <c r="E61" s="6" t="s">
        <v>338</v>
      </c>
      <c r="F61" s="6" t="s">
        <v>181</v>
      </c>
      <c r="G61" s="25">
        <v>4</v>
      </c>
      <c r="H61" s="6" t="s">
        <v>220</v>
      </c>
      <c r="I61" s="6" t="s">
        <v>154</v>
      </c>
      <c r="J61" s="6"/>
      <c r="K61" s="6" t="s">
        <v>21</v>
      </c>
      <c r="L61" s="25">
        <v>0</v>
      </c>
      <c r="M61" s="6"/>
      <c r="N61" s="26"/>
      <c r="O61" s="6" t="s">
        <v>155</v>
      </c>
      <c r="P61" s="6"/>
      <c r="Q61" s="6" t="s">
        <v>339</v>
      </c>
    </row>
    <row r="62" ht="27">
      <c r="A62" s="6" t="s">
        <v>340</v>
      </c>
      <c r="B62" s="25">
        <v>6</v>
      </c>
      <c r="C62" s="6" t="s">
        <v>336</v>
      </c>
      <c r="D62" s="6" t="s">
        <v>341</v>
      </c>
      <c r="E62" s="6" t="s">
        <v>342</v>
      </c>
      <c r="F62" s="6" t="s">
        <v>181</v>
      </c>
      <c r="G62" s="25">
        <v>4</v>
      </c>
      <c r="H62" s="6" t="s">
        <v>220</v>
      </c>
      <c r="I62" s="6" t="s">
        <v>154</v>
      </c>
      <c r="J62" s="6" t="s">
        <v>335</v>
      </c>
      <c r="K62" s="6" t="s">
        <v>21</v>
      </c>
      <c r="L62" s="25">
        <v>0</v>
      </c>
      <c r="M62" s="6"/>
      <c r="N62" s="26"/>
      <c r="O62" s="6" t="s">
        <v>155</v>
      </c>
      <c r="P62" s="6"/>
      <c r="Q62" s="6" t="s">
        <v>339</v>
      </c>
    </row>
    <row r="63" ht="27">
      <c r="A63" s="6" t="s">
        <v>343</v>
      </c>
      <c r="B63" s="25">
        <v>6</v>
      </c>
      <c r="C63" s="6" t="s">
        <v>336</v>
      </c>
      <c r="D63" s="6" t="s">
        <v>344</v>
      </c>
      <c r="E63" s="6" t="s">
        <v>345</v>
      </c>
      <c r="F63" s="6" t="s">
        <v>181</v>
      </c>
      <c r="G63" s="25">
        <v>4</v>
      </c>
      <c r="H63" s="6" t="s">
        <v>220</v>
      </c>
      <c r="I63" s="6" t="s">
        <v>154</v>
      </c>
      <c r="J63" s="6" t="s">
        <v>340</v>
      </c>
      <c r="K63" s="6" t="s">
        <v>21</v>
      </c>
      <c r="L63" s="25">
        <v>0</v>
      </c>
      <c r="M63" s="6"/>
      <c r="N63" s="26"/>
      <c r="O63" s="6" t="s">
        <v>155</v>
      </c>
      <c r="P63" s="6"/>
      <c r="Q63" s="6" t="s">
        <v>339</v>
      </c>
    </row>
    <row r="64" ht="27">
      <c r="A64" s="6" t="s">
        <v>346</v>
      </c>
      <c r="B64" s="25">
        <v>6</v>
      </c>
      <c r="C64" s="6" t="s">
        <v>336</v>
      </c>
      <c r="D64" s="6" t="s">
        <v>347</v>
      </c>
      <c r="E64" s="6" t="s">
        <v>348</v>
      </c>
      <c r="F64" s="6" t="s">
        <v>181</v>
      </c>
      <c r="G64" s="25">
        <v>6</v>
      </c>
      <c r="H64" s="6" t="s">
        <v>231</v>
      </c>
      <c r="I64" s="6" t="s">
        <v>154</v>
      </c>
      <c r="J64" s="6" t="s">
        <v>343</v>
      </c>
      <c r="K64" s="6" t="s">
        <v>21</v>
      </c>
      <c r="L64" s="25">
        <v>0</v>
      </c>
      <c r="M64" s="6"/>
      <c r="N64" s="26"/>
      <c r="O64" s="6" t="s">
        <v>155</v>
      </c>
      <c r="P64" s="6"/>
      <c r="Q64" s="6" t="s">
        <v>339</v>
      </c>
    </row>
    <row r="65" ht="14.4">
      <c r="A65" s="6" t="s">
        <v>349</v>
      </c>
      <c r="B65" s="25">
        <v>6</v>
      </c>
      <c r="C65" s="6" t="s">
        <v>336</v>
      </c>
      <c r="D65" s="6" t="s">
        <v>350</v>
      </c>
      <c r="E65" s="6" t="s">
        <v>351</v>
      </c>
      <c r="F65" s="6" t="s">
        <v>181</v>
      </c>
      <c r="G65" s="25">
        <v>4</v>
      </c>
      <c r="H65" s="6" t="s">
        <v>220</v>
      </c>
      <c r="I65" s="6" t="s">
        <v>154</v>
      </c>
      <c r="J65" s="6" t="s">
        <v>346</v>
      </c>
      <c r="K65" s="6" t="s">
        <v>21</v>
      </c>
      <c r="L65" s="25">
        <v>0</v>
      </c>
      <c r="M65" s="6"/>
      <c r="N65" s="26"/>
      <c r="O65" s="6" t="s">
        <v>155</v>
      </c>
      <c r="P65" s="6"/>
      <c r="Q65" s="6" t="s">
        <v>339</v>
      </c>
    </row>
    <row r="66" ht="14.4">
      <c r="A66" s="6" t="s">
        <v>352</v>
      </c>
      <c r="B66" s="25">
        <v>6</v>
      </c>
      <c r="C66" s="6" t="s">
        <v>336</v>
      </c>
      <c r="D66" s="6" t="s">
        <v>353</v>
      </c>
      <c r="E66" s="6" t="s">
        <v>354</v>
      </c>
      <c r="F66" s="6" t="s">
        <v>181</v>
      </c>
      <c r="G66" s="25">
        <v>4</v>
      </c>
      <c r="H66" s="6" t="s">
        <v>220</v>
      </c>
      <c r="I66" s="6" t="s">
        <v>154</v>
      </c>
      <c r="J66" s="6" t="s">
        <v>349</v>
      </c>
      <c r="K66" s="6" t="s">
        <v>21</v>
      </c>
      <c r="L66" s="25">
        <v>0</v>
      </c>
      <c r="M66" s="6"/>
      <c r="N66" s="26"/>
      <c r="O66" s="6" t="s">
        <v>155</v>
      </c>
      <c r="P66" s="6"/>
      <c r="Q66" s="6" t="s">
        <v>339</v>
      </c>
    </row>
    <row r="67" ht="14.4">
      <c r="A67" s="6" t="s">
        <v>355</v>
      </c>
      <c r="B67" s="25">
        <v>6</v>
      </c>
      <c r="C67" s="6" t="s">
        <v>336</v>
      </c>
      <c r="D67" s="6" t="s">
        <v>356</v>
      </c>
      <c r="E67" s="6" t="s">
        <v>357</v>
      </c>
      <c r="F67" s="6" t="s">
        <v>181</v>
      </c>
      <c r="G67" s="25">
        <v>4</v>
      </c>
      <c r="H67" s="6" t="s">
        <v>220</v>
      </c>
      <c r="I67" s="6" t="s">
        <v>154</v>
      </c>
      <c r="J67" s="6" t="s">
        <v>352</v>
      </c>
      <c r="K67" s="6" t="s">
        <v>21</v>
      </c>
      <c r="L67" s="25">
        <v>0</v>
      </c>
      <c r="M67" s="6"/>
      <c r="N67" s="26"/>
      <c r="O67" s="6" t="s">
        <v>155</v>
      </c>
      <c r="P67" s="6"/>
      <c r="Q67" s="6" t="s">
        <v>339</v>
      </c>
    </row>
    <row r="68" ht="14.4">
      <c r="A68" s="6" t="s">
        <v>358</v>
      </c>
      <c r="B68" s="25">
        <v>6</v>
      </c>
      <c r="C68" s="6" t="s">
        <v>336</v>
      </c>
      <c r="D68" s="6" t="s">
        <v>359</v>
      </c>
      <c r="E68" s="6" t="s">
        <v>360</v>
      </c>
      <c r="F68" s="6" t="s">
        <v>181</v>
      </c>
      <c r="G68" s="25">
        <v>6</v>
      </c>
      <c r="H68" s="6" t="s">
        <v>231</v>
      </c>
      <c r="I68" s="6" t="s">
        <v>154</v>
      </c>
      <c r="J68" s="6" t="s">
        <v>355</v>
      </c>
      <c r="K68" s="6" t="s">
        <v>21</v>
      </c>
      <c r="L68" s="25">
        <v>0</v>
      </c>
      <c r="M68" s="6"/>
      <c r="N68" s="26"/>
      <c r="O68" s="6" t="s">
        <v>155</v>
      </c>
      <c r="P68" s="6"/>
      <c r="Q68" s="6" t="s">
        <v>339</v>
      </c>
    </row>
    <row r="69" ht="14.4">
      <c r="A69" s="6" t="s">
        <v>361</v>
      </c>
      <c r="B69" s="25">
        <v>6</v>
      </c>
      <c r="C69" s="6" t="s">
        <v>336</v>
      </c>
      <c r="D69" s="6" t="s">
        <v>362</v>
      </c>
      <c r="E69" s="6" t="s">
        <v>363</v>
      </c>
      <c r="F69" s="6" t="s">
        <v>181</v>
      </c>
      <c r="G69" s="25">
        <v>4</v>
      </c>
      <c r="H69" s="6" t="s">
        <v>220</v>
      </c>
      <c r="I69" s="6" t="s">
        <v>154</v>
      </c>
      <c r="J69" s="6" t="s">
        <v>358</v>
      </c>
      <c r="K69" s="6" t="s">
        <v>21</v>
      </c>
      <c r="L69" s="25">
        <v>0</v>
      </c>
      <c r="M69" s="6"/>
      <c r="N69" s="26"/>
      <c r="O69" s="6" t="s">
        <v>155</v>
      </c>
      <c r="P69" s="6"/>
      <c r="Q69" s="6" t="s">
        <v>339</v>
      </c>
    </row>
    <row r="70" ht="14.4">
      <c r="A70" s="6" t="s">
        <v>364</v>
      </c>
      <c r="B70" s="25">
        <v>6</v>
      </c>
      <c r="C70" s="6" t="s">
        <v>336</v>
      </c>
      <c r="D70" s="6" t="s">
        <v>365</v>
      </c>
      <c r="E70" s="6" t="s">
        <v>366</v>
      </c>
      <c r="F70" s="6" t="s">
        <v>181</v>
      </c>
      <c r="G70" s="25">
        <v>4</v>
      </c>
      <c r="H70" s="6" t="s">
        <v>220</v>
      </c>
      <c r="I70" s="6" t="s">
        <v>154</v>
      </c>
      <c r="J70" s="6" t="s">
        <v>361</v>
      </c>
      <c r="K70" s="6" t="s">
        <v>21</v>
      </c>
      <c r="L70" s="25">
        <v>0</v>
      </c>
      <c r="M70" s="6"/>
      <c r="N70" s="26"/>
      <c r="O70" s="6" t="s">
        <v>155</v>
      </c>
      <c r="P70" s="6"/>
      <c r="Q70" s="6" t="s">
        <v>339</v>
      </c>
    </row>
    <row r="71" ht="14.4">
      <c r="A71" s="6" t="s">
        <v>367</v>
      </c>
      <c r="B71" s="25">
        <v>6</v>
      </c>
      <c r="C71" s="6" t="s">
        <v>336</v>
      </c>
      <c r="D71" s="6" t="s">
        <v>368</v>
      </c>
      <c r="E71" s="6" t="s">
        <v>369</v>
      </c>
      <c r="F71" s="6" t="s">
        <v>181</v>
      </c>
      <c r="G71" s="25">
        <v>4</v>
      </c>
      <c r="H71" s="6" t="s">
        <v>220</v>
      </c>
      <c r="I71" s="6" t="s">
        <v>154</v>
      </c>
      <c r="J71" s="6" t="s">
        <v>364</v>
      </c>
      <c r="K71" s="6" t="s">
        <v>21</v>
      </c>
      <c r="L71" s="25">
        <v>0</v>
      </c>
      <c r="M71" s="6"/>
      <c r="N71" s="26"/>
      <c r="O71" s="6" t="s">
        <v>155</v>
      </c>
      <c r="P71" s="6"/>
      <c r="Q71" s="6" t="s">
        <v>339</v>
      </c>
    </row>
    <row r="72" ht="14.4">
      <c r="A72" s="6" t="s">
        <v>370</v>
      </c>
      <c r="B72" s="25">
        <v>6</v>
      </c>
      <c r="C72" s="6" t="s">
        <v>336</v>
      </c>
      <c r="D72" s="6" t="s">
        <v>371</v>
      </c>
      <c r="E72" s="6" t="s">
        <v>372</v>
      </c>
      <c r="F72" s="6" t="s">
        <v>181</v>
      </c>
      <c r="G72" s="25">
        <v>6</v>
      </c>
      <c r="H72" s="6" t="s">
        <v>231</v>
      </c>
      <c r="I72" s="6" t="s">
        <v>154</v>
      </c>
      <c r="J72" s="6" t="s">
        <v>367</v>
      </c>
      <c r="K72" s="6" t="s">
        <v>21</v>
      </c>
      <c r="L72" s="25">
        <v>0</v>
      </c>
      <c r="M72" s="6"/>
      <c r="N72" s="26"/>
      <c r="O72" s="6" t="s">
        <v>155</v>
      </c>
      <c r="P72" s="6"/>
      <c r="Q72" s="6" t="s">
        <v>339</v>
      </c>
    </row>
    <row r="73" ht="14.4">
      <c r="A73" s="6" t="s">
        <v>373</v>
      </c>
      <c r="B73" s="25">
        <v>6</v>
      </c>
      <c r="C73" s="6" t="s">
        <v>336</v>
      </c>
      <c r="D73" s="6" t="s">
        <v>374</v>
      </c>
      <c r="E73" s="6" t="s">
        <v>375</v>
      </c>
      <c r="F73" s="6" t="s">
        <v>181</v>
      </c>
      <c r="G73" s="25">
        <v>4</v>
      </c>
      <c r="H73" s="6" t="s">
        <v>220</v>
      </c>
      <c r="I73" s="6" t="s">
        <v>154</v>
      </c>
      <c r="J73" s="6" t="s">
        <v>370</v>
      </c>
      <c r="K73" s="6" t="s">
        <v>21</v>
      </c>
      <c r="L73" s="25">
        <v>0</v>
      </c>
      <c r="M73" s="6"/>
      <c r="N73" s="26"/>
      <c r="O73" s="6" t="s">
        <v>155</v>
      </c>
      <c r="P73" s="6"/>
      <c r="Q73" s="6" t="s">
        <v>339</v>
      </c>
    </row>
    <row r="74" ht="14.4">
      <c r="A74" s="6" t="s">
        <v>376</v>
      </c>
      <c r="B74" s="25">
        <v>6</v>
      </c>
      <c r="C74" s="6" t="s">
        <v>336</v>
      </c>
      <c r="D74" s="6" t="s">
        <v>377</v>
      </c>
      <c r="E74" s="6" t="s">
        <v>378</v>
      </c>
      <c r="F74" s="6" t="s">
        <v>181</v>
      </c>
      <c r="G74" s="25">
        <v>4</v>
      </c>
      <c r="H74" s="6" t="s">
        <v>220</v>
      </c>
      <c r="I74" s="6" t="s">
        <v>154</v>
      </c>
      <c r="J74" s="6" t="s">
        <v>373</v>
      </c>
      <c r="K74" s="6" t="s">
        <v>21</v>
      </c>
      <c r="L74" s="25">
        <v>0</v>
      </c>
      <c r="M74" s="6"/>
      <c r="N74" s="26"/>
      <c r="O74" s="6" t="s">
        <v>155</v>
      </c>
      <c r="P74" s="6"/>
      <c r="Q74" s="6" t="s">
        <v>339</v>
      </c>
    </row>
    <row r="75" ht="14.4">
      <c r="A75" s="6" t="s">
        <v>379</v>
      </c>
      <c r="B75" s="25">
        <v>6</v>
      </c>
      <c r="C75" s="6" t="s">
        <v>336</v>
      </c>
      <c r="D75" s="6" t="s">
        <v>380</v>
      </c>
      <c r="E75" s="6" t="s">
        <v>381</v>
      </c>
      <c r="F75" s="6" t="s">
        <v>181</v>
      </c>
      <c r="G75" s="25">
        <v>4</v>
      </c>
      <c r="H75" s="6" t="s">
        <v>220</v>
      </c>
      <c r="I75" s="6" t="s">
        <v>154</v>
      </c>
      <c r="J75" s="6" t="s">
        <v>376</v>
      </c>
      <c r="K75" s="6" t="s">
        <v>21</v>
      </c>
      <c r="L75" s="25">
        <v>0</v>
      </c>
      <c r="M75" s="6"/>
      <c r="N75" s="26"/>
      <c r="O75" s="6" t="s">
        <v>155</v>
      </c>
      <c r="P75" s="6"/>
      <c r="Q75" s="6" t="s">
        <v>339</v>
      </c>
    </row>
    <row r="76" ht="14.4">
      <c r="A76" s="6" t="s">
        <v>382</v>
      </c>
      <c r="B76" s="25">
        <v>7</v>
      </c>
      <c r="C76" s="6" t="s">
        <v>383</v>
      </c>
      <c r="D76" s="6" t="s">
        <v>384</v>
      </c>
      <c r="E76" s="6" t="s">
        <v>385</v>
      </c>
      <c r="F76" s="6" t="s">
        <v>386</v>
      </c>
      <c r="G76" s="25">
        <v>4</v>
      </c>
      <c r="H76" s="6" t="s">
        <v>220</v>
      </c>
      <c r="I76" s="6" t="s">
        <v>154</v>
      </c>
      <c r="J76" s="6"/>
      <c r="K76" s="6" t="s">
        <v>21</v>
      </c>
      <c r="L76" s="25">
        <v>0</v>
      </c>
      <c r="M76" s="6"/>
      <c r="N76" s="26"/>
      <c r="O76" s="6" t="s">
        <v>155</v>
      </c>
      <c r="P76" s="6"/>
      <c r="Q76" s="6" t="s">
        <v>387</v>
      </c>
    </row>
    <row r="77" ht="14.4">
      <c r="A77" s="6" t="s">
        <v>388</v>
      </c>
      <c r="B77" s="25">
        <v>7</v>
      </c>
      <c r="C77" s="6" t="s">
        <v>383</v>
      </c>
      <c r="D77" s="6" t="s">
        <v>389</v>
      </c>
      <c r="E77" s="6" t="s">
        <v>390</v>
      </c>
      <c r="F77" s="6" t="s">
        <v>386</v>
      </c>
      <c r="G77" s="25">
        <v>4</v>
      </c>
      <c r="H77" s="6" t="s">
        <v>220</v>
      </c>
      <c r="I77" s="6" t="s">
        <v>154</v>
      </c>
      <c r="J77" s="6" t="s">
        <v>382</v>
      </c>
      <c r="K77" s="6" t="s">
        <v>21</v>
      </c>
      <c r="L77" s="25">
        <v>0</v>
      </c>
      <c r="M77" s="6"/>
      <c r="N77" s="26"/>
      <c r="O77" s="6" t="s">
        <v>155</v>
      </c>
      <c r="P77" s="6"/>
      <c r="Q77" s="6" t="s">
        <v>387</v>
      </c>
    </row>
    <row r="78" ht="14.4">
      <c r="A78" s="6" t="s">
        <v>391</v>
      </c>
      <c r="B78" s="25">
        <v>7</v>
      </c>
      <c r="C78" s="6" t="s">
        <v>383</v>
      </c>
      <c r="D78" s="6" t="s">
        <v>392</v>
      </c>
      <c r="E78" s="6" t="s">
        <v>393</v>
      </c>
      <c r="F78" s="6" t="s">
        <v>386</v>
      </c>
      <c r="G78" s="25">
        <v>4</v>
      </c>
      <c r="H78" s="6" t="s">
        <v>220</v>
      </c>
      <c r="I78" s="6" t="s">
        <v>154</v>
      </c>
      <c r="J78" s="6" t="s">
        <v>388</v>
      </c>
      <c r="K78" s="6" t="s">
        <v>21</v>
      </c>
      <c r="L78" s="25">
        <v>0</v>
      </c>
      <c r="M78" s="6"/>
      <c r="N78" s="26"/>
      <c r="O78" s="6" t="s">
        <v>155</v>
      </c>
      <c r="P78" s="6"/>
      <c r="Q78" s="6" t="s">
        <v>387</v>
      </c>
    </row>
    <row r="79" ht="14.4">
      <c r="A79" s="6" t="s">
        <v>394</v>
      </c>
      <c r="B79" s="25">
        <v>7</v>
      </c>
      <c r="C79" s="6" t="s">
        <v>383</v>
      </c>
      <c r="D79" s="6" t="s">
        <v>395</v>
      </c>
      <c r="E79" s="6" t="s">
        <v>396</v>
      </c>
      <c r="F79" s="6" t="s">
        <v>386</v>
      </c>
      <c r="G79" s="25">
        <v>6</v>
      </c>
      <c r="H79" s="6" t="s">
        <v>231</v>
      </c>
      <c r="I79" s="6" t="s">
        <v>154</v>
      </c>
      <c r="J79" s="6" t="s">
        <v>391</v>
      </c>
      <c r="K79" s="6" t="s">
        <v>21</v>
      </c>
      <c r="L79" s="25">
        <v>0</v>
      </c>
      <c r="M79" s="6"/>
      <c r="N79" s="26"/>
      <c r="O79" s="6" t="s">
        <v>155</v>
      </c>
      <c r="P79" s="6"/>
      <c r="Q79" s="6" t="s">
        <v>387</v>
      </c>
    </row>
    <row r="80" ht="14.4">
      <c r="A80" s="6" t="s">
        <v>397</v>
      </c>
      <c r="B80" s="25">
        <v>7</v>
      </c>
      <c r="C80" s="6" t="s">
        <v>383</v>
      </c>
      <c r="D80" s="6" t="s">
        <v>398</v>
      </c>
      <c r="E80" s="6" t="s">
        <v>399</v>
      </c>
      <c r="F80" s="6" t="s">
        <v>386</v>
      </c>
      <c r="G80" s="25">
        <v>4</v>
      </c>
      <c r="H80" s="6" t="s">
        <v>220</v>
      </c>
      <c r="I80" s="6" t="s">
        <v>154</v>
      </c>
      <c r="J80" s="6" t="s">
        <v>394</v>
      </c>
      <c r="K80" s="6" t="s">
        <v>21</v>
      </c>
      <c r="L80" s="25">
        <v>0</v>
      </c>
      <c r="M80" s="6"/>
      <c r="N80" s="26"/>
      <c r="O80" s="6" t="s">
        <v>155</v>
      </c>
      <c r="P80" s="6"/>
      <c r="Q80" s="6" t="s">
        <v>387</v>
      </c>
    </row>
    <row r="81" ht="14.4">
      <c r="A81" s="6" t="s">
        <v>400</v>
      </c>
      <c r="B81" s="25">
        <v>7</v>
      </c>
      <c r="C81" s="6" t="s">
        <v>383</v>
      </c>
      <c r="D81" s="6" t="s">
        <v>401</v>
      </c>
      <c r="E81" s="6" t="s">
        <v>402</v>
      </c>
      <c r="F81" s="6" t="s">
        <v>386</v>
      </c>
      <c r="G81" s="25">
        <v>4</v>
      </c>
      <c r="H81" s="6" t="s">
        <v>220</v>
      </c>
      <c r="I81" s="6" t="s">
        <v>154</v>
      </c>
      <c r="J81" s="6" t="s">
        <v>397</v>
      </c>
      <c r="K81" s="6" t="s">
        <v>21</v>
      </c>
      <c r="L81" s="25">
        <v>0</v>
      </c>
      <c r="M81" s="6"/>
      <c r="N81" s="26"/>
      <c r="O81" s="6" t="s">
        <v>155</v>
      </c>
      <c r="P81" s="6"/>
      <c r="Q81" s="6" t="s">
        <v>387</v>
      </c>
    </row>
    <row r="82" ht="14.4">
      <c r="A82" s="6" t="s">
        <v>403</v>
      </c>
      <c r="B82" s="25">
        <v>7</v>
      </c>
      <c r="C82" s="6" t="s">
        <v>383</v>
      </c>
      <c r="D82" s="6" t="s">
        <v>404</v>
      </c>
      <c r="E82" s="6" t="s">
        <v>405</v>
      </c>
      <c r="F82" s="6" t="s">
        <v>386</v>
      </c>
      <c r="G82" s="25">
        <v>4</v>
      </c>
      <c r="H82" s="6" t="s">
        <v>220</v>
      </c>
      <c r="I82" s="6" t="s">
        <v>154</v>
      </c>
      <c r="J82" s="6" t="s">
        <v>400</v>
      </c>
      <c r="K82" s="6" t="s">
        <v>21</v>
      </c>
      <c r="L82" s="25">
        <v>0</v>
      </c>
      <c r="M82" s="6"/>
      <c r="N82" s="26"/>
      <c r="O82" s="6" t="s">
        <v>155</v>
      </c>
      <c r="P82" s="6"/>
      <c r="Q82" s="6" t="s">
        <v>387</v>
      </c>
    </row>
    <row r="83" ht="14.4">
      <c r="A83" s="6" t="s">
        <v>406</v>
      </c>
      <c r="B83" s="25">
        <v>7</v>
      </c>
      <c r="C83" s="6" t="s">
        <v>383</v>
      </c>
      <c r="D83" s="6" t="s">
        <v>407</v>
      </c>
      <c r="E83" s="6" t="s">
        <v>408</v>
      </c>
      <c r="F83" s="6" t="s">
        <v>386</v>
      </c>
      <c r="G83" s="25">
        <v>6</v>
      </c>
      <c r="H83" s="6" t="s">
        <v>231</v>
      </c>
      <c r="I83" s="6" t="s">
        <v>154</v>
      </c>
      <c r="J83" s="6" t="s">
        <v>403</v>
      </c>
      <c r="K83" s="6" t="s">
        <v>21</v>
      </c>
      <c r="L83" s="25">
        <v>0</v>
      </c>
      <c r="M83" s="6"/>
      <c r="N83" s="26"/>
      <c r="O83" s="6" t="s">
        <v>155</v>
      </c>
      <c r="P83" s="6"/>
      <c r="Q83" s="6" t="s">
        <v>387</v>
      </c>
    </row>
    <row r="84" ht="14.4">
      <c r="A84" s="6" t="s">
        <v>409</v>
      </c>
      <c r="B84" s="25">
        <v>7</v>
      </c>
      <c r="C84" s="6" t="s">
        <v>383</v>
      </c>
      <c r="D84" s="6" t="s">
        <v>410</v>
      </c>
      <c r="E84" s="6" t="s">
        <v>411</v>
      </c>
      <c r="F84" s="6" t="s">
        <v>386</v>
      </c>
      <c r="G84" s="25">
        <v>4</v>
      </c>
      <c r="H84" s="6" t="s">
        <v>220</v>
      </c>
      <c r="I84" s="6" t="s">
        <v>154</v>
      </c>
      <c r="J84" s="6" t="s">
        <v>406</v>
      </c>
      <c r="K84" s="6" t="s">
        <v>21</v>
      </c>
      <c r="L84" s="25">
        <v>0</v>
      </c>
      <c r="M84" s="6"/>
      <c r="N84" s="26"/>
      <c r="O84" s="6" t="s">
        <v>155</v>
      </c>
      <c r="P84" s="6"/>
      <c r="Q84" s="6" t="s">
        <v>387</v>
      </c>
    </row>
    <row r="85" ht="14.4">
      <c r="A85" s="6" t="s">
        <v>412</v>
      </c>
      <c r="B85" s="25">
        <v>7</v>
      </c>
      <c r="C85" s="6" t="s">
        <v>383</v>
      </c>
      <c r="D85" s="6" t="s">
        <v>413</v>
      </c>
      <c r="E85" s="6" t="s">
        <v>414</v>
      </c>
      <c r="F85" s="6" t="s">
        <v>386</v>
      </c>
      <c r="G85" s="25">
        <v>4</v>
      </c>
      <c r="H85" s="6" t="s">
        <v>220</v>
      </c>
      <c r="I85" s="6" t="s">
        <v>154</v>
      </c>
      <c r="J85" s="6" t="s">
        <v>409</v>
      </c>
      <c r="K85" s="6" t="s">
        <v>21</v>
      </c>
      <c r="L85" s="25">
        <v>0</v>
      </c>
      <c r="M85" s="6"/>
      <c r="N85" s="26"/>
      <c r="O85" s="6" t="s">
        <v>155</v>
      </c>
      <c r="P85" s="6"/>
      <c r="Q85" s="6" t="s">
        <v>387</v>
      </c>
    </row>
    <row r="86" ht="14.4">
      <c r="A86" s="6" t="s">
        <v>415</v>
      </c>
      <c r="B86" s="25">
        <v>7</v>
      </c>
      <c r="C86" s="6" t="s">
        <v>383</v>
      </c>
      <c r="D86" s="6" t="s">
        <v>416</v>
      </c>
      <c r="E86" s="6" t="s">
        <v>417</v>
      </c>
      <c r="F86" s="6" t="s">
        <v>386</v>
      </c>
      <c r="G86" s="25">
        <v>4</v>
      </c>
      <c r="H86" s="6" t="s">
        <v>220</v>
      </c>
      <c r="I86" s="6" t="s">
        <v>154</v>
      </c>
      <c r="J86" s="6" t="s">
        <v>412</v>
      </c>
      <c r="K86" s="6" t="s">
        <v>21</v>
      </c>
      <c r="L86" s="25">
        <v>0</v>
      </c>
      <c r="M86" s="6"/>
      <c r="N86" s="26"/>
      <c r="O86" s="6" t="s">
        <v>155</v>
      </c>
      <c r="P86" s="6"/>
      <c r="Q86" s="6" t="s">
        <v>387</v>
      </c>
    </row>
    <row r="87" ht="14.4">
      <c r="A87" s="6" t="s">
        <v>418</v>
      </c>
      <c r="B87" s="25">
        <v>7</v>
      </c>
      <c r="C87" s="6" t="s">
        <v>383</v>
      </c>
      <c r="D87" s="6" t="s">
        <v>419</v>
      </c>
      <c r="E87" s="6" t="s">
        <v>420</v>
      </c>
      <c r="F87" s="6" t="s">
        <v>386</v>
      </c>
      <c r="G87" s="25">
        <v>6</v>
      </c>
      <c r="H87" s="6" t="s">
        <v>231</v>
      </c>
      <c r="I87" s="6" t="s">
        <v>154</v>
      </c>
      <c r="J87" s="6" t="s">
        <v>415</v>
      </c>
      <c r="K87" s="6" t="s">
        <v>21</v>
      </c>
      <c r="L87" s="25">
        <v>0</v>
      </c>
      <c r="M87" s="6"/>
      <c r="N87" s="26"/>
      <c r="O87" s="6" t="s">
        <v>155</v>
      </c>
      <c r="P87" s="6"/>
      <c r="Q87" s="6" t="s">
        <v>387</v>
      </c>
    </row>
    <row r="88" ht="14.4">
      <c r="A88" s="6" t="s">
        <v>421</v>
      </c>
      <c r="B88" s="25">
        <v>7</v>
      </c>
      <c r="C88" s="6" t="s">
        <v>383</v>
      </c>
      <c r="D88" s="6" t="s">
        <v>422</v>
      </c>
      <c r="E88" s="6" t="s">
        <v>423</v>
      </c>
      <c r="F88" s="6" t="s">
        <v>386</v>
      </c>
      <c r="G88" s="25">
        <v>4</v>
      </c>
      <c r="H88" s="6" t="s">
        <v>220</v>
      </c>
      <c r="I88" s="6" t="s">
        <v>154</v>
      </c>
      <c r="J88" s="6" t="s">
        <v>418</v>
      </c>
      <c r="K88" s="6" t="s">
        <v>21</v>
      </c>
      <c r="L88" s="25">
        <v>0</v>
      </c>
      <c r="M88" s="6"/>
      <c r="N88" s="26"/>
      <c r="O88" s="6" t="s">
        <v>155</v>
      </c>
      <c r="P88" s="6"/>
      <c r="Q88" s="6" t="s">
        <v>387</v>
      </c>
    </row>
    <row r="89" ht="14.4">
      <c r="A89" s="6" t="s">
        <v>424</v>
      </c>
      <c r="B89" s="25">
        <v>7</v>
      </c>
      <c r="C89" s="6" t="s">
        <v>383</v>
      </c>
      <c r="D89" s="6" t="s">
        <v>425</v>
      </c>
      <c r="E89" s="6" t="s">
        <v>426</v>
      </c>
      <c r="F89" s="6" t="s">
        <v>386</v>
      </c>
      <c r="G89" s="25">
        <v>4</v>
      </c>
      <c r="H89" s="6" t="s">
        <v>220</v>
      </c>
      <c r="I89" s="6" t="s">
        <v>154</v>
      </c>
      <c r="J89" s="6" t="s">
        <v>421</v>
      </c>
      <c r="K89" s="6" t="s">
        <v>21</v>
      </c>
      <c r="L89" s="25">
        <v>0</v>
      </c>
      <c r="M89" s="6"/>
      <c r="N89" s="26"/>
      <c r="O89" s="6" t="s">
        <v>155</v>
      </c>
      <c r="P89" s="6"/>
      <c r="Q89" s="6" t="s">
        <v>387</v>
      </c>
    </row>
    <row r="90" ht="14.4">
      <c r="A90" s="6" t="s">
        <v>427</v>
      </c>
      <c r="B90" s="25">
        <v>7</v>
      </c>
      <c r="C90" s="6" t="s">
        <v>383</v>
      </c>
      <c r="D90" s="6" t="s">
        <v>428</v>
      </c>
      <c r="E90" s="6" t="s">
        <v>429</v>
      </c>
      <c r="F90" s="6" t="s">
        <v>386</v>
      </c>
      <c r="G90" s="25">
        <v>4</v>
      </c>
      <c r="H90" s="6" t="s">
        <v>220</v>
      </c>
      <c r="I90" s="6" t="s">
        <v>154</v>
      </c>
      <c r="J90" s="6" t="s">
        <v>424</v>
      </c>
      <c r="K90" s="6" t="s">
        <v>21</v>
      </c>
      <c r="L90" s="25">
        <v>0</v>
      </c>
      <c r="M90" s="6"/>
      <c r="N90" s="26"/>
      <c r="O90" s="6" t="s">
        <v>155</v>
      </c>
      <c r="P90" s="6"/>
      <c r="Q90" s="6" t="s">
        <v>387</v>
      </c>
    </row>
    <row r="91" ht="14.4">
      <c r="A91" s="6" t="s">
        <v>430</v>
      </c>
      <c r="B91" s="25">
        <v>7</v>
      </c>
      <c r="C91" s="6" t="s">
        <v>383</v>
      </c>
      <c r="D91" s="6" t="s">
        <v>431</v>
      </c>
      <c r="E91" s="6" t="s">
        <v>432</v>
      </c>
      <c r="F91" s="6" t="s">
        <v>386</v>
      </c>
      <c r="G91" s="25">
        <v>6</v>
      </c>
      <c r="H91" s="6" t="s">
        <v>231</v>
      </c>
      <c r="I91" s="6" t="s">
        <v>154</v>
      </c>
      <c r="J91" s="6" t="s">
        <v>427</v>
      </c>
      <c r="K91" s="6" t="s">
        <v>21</v>
      </c>
      <c r="L91" s="25">
        <v>0</v>
      </c>
      <c r="M91" s="6"/>
      <c r="N91" s="26"/>
      <c r="O91" s="6" t="s">
        <v>155</v>
      </c>
      <c r="P91" s="6"/>
      <c r="Q91" s="6" t="s">
        <v>387</v>
      </c>
    </row>
    <row r="92" ht="14.4">
      <c r="A92" s="6" t="s">
        <v>433</v>
      </c>
      <c r="B92" s="25">
        <v>8</v>
      </c>
      <c r="C92" s="6" t="s">
        <v>434</v>
      </c>
      <c r="D92" s="6" t="s">
        <v>435</v>
      </c>
      <c r="E92" s="6" t="s">
        <v>436</v>
      </c>
      <c r="F92" s="6" t="s">
        <v>181</v>
      </c>
      <c r="G92" s="25">
        <v>4</v>
      </c>
      <c r="H92" s="6" t="s">
        <v>220</v>
      </c>
      <c r="I92" s="6" t="s">
        <v>154</v>
      </c>
      <c r="J92" s="6"/>
      <c r="K92" s="6" t="s">
        <v>21</v>
      </c>
      <c r="L92" s="25">
        <v>0</v>
      </c>
      <c r="M92" s="6"/>
      <c r="N92" s="26"/>
      <c r="O92" s="6" t="s">
        <v>155</v>
      </c>
      <c r="P92" s="6"/>
      <c r="Q92" s="6" t="s">
        <v>437</v>
      </c>
    </row>
    <row r="93" ht="14.4">
      <c r="A93" s="6" t="s">
        <v>438</v>
      </c>
      <c r="B93" s="25">
        <v>8</v>
      </c>
      <c r="C93" s="6" t="s">
        <v>434</v>
      </c>
      <c r="D93" s="6" t="s">
        <v>439</v>
      </c>
      <c r="E93" s="6" t="s">
        <v>440</v>
      </c>
      <c r="F93" s="6" t="s">
        <v>181</v>
      </c>
      <c r="G93" s="25">
        <v>4</v>
      </c>
      <c r="H93" s="6" t="s">
        <v>220</v>
      </c>
      <c r="I93" s="6" t="s">
        <v>160</v>
      </c>
      <c r="J93" s="6" t="s">
        <v>433</v>
      </c>
      <c r="K93" s="6" t="s">
        <v>21</v>
      </c>
      <c r="L93" s="25">
        <v>0</v>
      </c>
      <c r="M93" s="6"/>
      <c r="N93" s="26"/>
      <c r="O93" s="6" t="s">
        <v>155</v>
      </c>
      <c r="P93" s="6"/>
      <c r="Q93" s="6" t="s">
        <v>437</v>
      </c>
    </row>
    <row r="94" ht="14.4">
      <c r="A94" s="6" t="s">
        <v>441</v>
      </c>
      <c r="B94" s="25">
        <v>8</v>
      </c>
      <c r="C94" s="6" t="s">
        <v>434</v>
      </c>
      <c r="D94" s="6" t="s">
        <v>442</v>
      </c>
      <c r="E94" s="6" t="s">
        <v>443</v>
      </c>
      <c r="F94" s="6" t="s">
        <v>181</v>
      </c>
      <c r="G94" s="25">
        <v>4</v>
      </c>
      <c r="H94" s="6" t="s">
        <v>220</v>
      </c>
      <c r="I94" s="6" t="s">
        <v>160</v>
      </c>
      <c r="J94" s="6" t="s">
        <v>438</v>
      </c>
      <c r="K94" s="6" t="s">
        <v>21</v>
      </c>
      <c r="L94" s="25">
        <v>0</v>
      </c>
      <c r="M94" s="6"/>
      <c r="N94" s="26"/>
      <c r="O94" s="6" t="s">
        <v>155</v>
      </c>
      <c r="P94" s="6"/>
      <c r="Q94" s="6" t="s">
        <v>437</v>
      </c>
    </row>
    <row r="95" ht="14.4">
      <c r="A95" s="6" t="s">
        <v>444</v>
      </c>
      <c r="B95" s="25">
        <v>8</v>
      </c>
      <c r="C95" s="6" t="s">
        <v>434</v>
      </c>
      <c r="D95" s="6" t="s">
        <v>445</v>
      </c>
      <c r="E95" s="6" t="s">
        <v>446</v>
      </c>
      <c r="F95" s="6" t="s">
        <v>181</v>
      </c>
      <c r="G95" s="25">
        <v>6</v>
      </c>
      <c r="H95" s="6" t="s">
        <v>231</v>
      </c>
      <c r="I95" s="6" t="s">
        <v>154</v>
      </c>
      <c r="J95" s="6" t="s">
        <v>441</v>
      </c>
      <c r="K95" s="6" t="s">
        <v>21</v>
      </c>
      <c r="L95" s="25">
        <v>0</v>
      </c>
      <c r="M95" s="6"/>
      <c r="N95" s="26"/>
      <c r="O95" s="6" t="s">
        <v>155</v>
      </c>
      <c r="P95" s="6"/>
      <c r="Q95" s="6" t="s">
        <v>437</v>
      </c>
    </row>
    <row r="96" ht="14.4">
      <c r="A96" s="6" t="s">
        <v>447</v>
      </c>
      <c r="B96" s="25">
        <v>8</v>
      </c>
      <c r="C96" s="6" t="s">
        <v>434</v>
      </c>
      <c r="D96" s="6" t="s">
        <v>448</v>
      </c>
      <c r="E96" s="6" t="s">
        <v>449</v>
      </c>
      <c r="F96" s="6" t="s">
        <v>181</v>
      </c>
      <c r="G96" s="25">
        <v>4</v>
      </c>
      <c r="H96" s="6" t="s">
        <v>220</v>
      </c>
      <c r="I96" s="6" t="s">
        <v>160</v>
      </c>
      <c r="J96" s="6" t="s">
        <v>444</v>
      </c>
      <c r="K96" s="6" t="s">
        <v>21</v>
      </c>
      <c r="L96" s="25">
        <v>0</v>
      </c>
      <c r="M96" s="6"/>
      <c r="N96" s="26"/>
      <c r="O96" s="6" t="s">
        <v>155</v>
      </c>
      <c r="P96" s="6"/>
      <c r="Q96" s="6" t="s">
        <v>437</v>
      </c>
    </row>
    <row r="97" ht="14.4">
      <c r="A97" s="6" t="s">
        <v>450</v>
      </c>
      <c r="B97" s="25">
        <v>8</v>
      </c>
      <c r="C97" s="6" t="s">
        <v>434</v>
      </c>
      <c r="D97" s="6" t="s">
        <v>451</v>
      </c>
      <c r="E97" s="6" t="s">
        <v>452</v>
      </c>
      <c r="F97" s="6" t="s">
        <v>181</v>
      </c>
      <c r="G97" s="25">
        <v>4</v>
      </c>
      <c r="H97" s="6" t="s">
        <v>220</v>
      </c>
      <c r="I97" s="6" t="s">
        <v>160</v>
      </c>
      <c r="J97" s="6" t="s">
        <v>447</v>
      </c>
      <c r="K97" s="6" t="s">
        <v>21</v>
      </c>
      <c r="L97" s="25">
        <v>0</v>
      </c>
      <c r="M97" s="6"/>
      <c r="N97" s="26"/>
      <c r="O97" s="6" t="s">
        <v>155</v>
      </c>
      <c r="P97" s="6"/>
      <c r="Q97" s="6" t="s">
        <v>437</v>
      </c>
    </row>
    <row r="98" ht="14.4">
      <c r="A98" s="6" t="s">
        <v>453</v>
      </c>
      <c r="B98" s="25">
        <v>8</v>
      </c>
      <c r="C98" s="6" t="s">
        <v>434</v>
      </c>
      <c r="D98" s="6" t="s">
        <v>454</v>
      </c>
      <c r="E98" s="6" t="s">
        <v>455</v>
      </c>
      <c r="F98" s="6" t="s">
        <v>181</v>
      </c>
      <c r="G98" s="25">
        <v>4</v>
      </c>
      <c r="H98" s="6" t="s">
        <v>220</v>
      </c>
      <c r="I98" s="6" t="s">
        <v>154</v>
      </c>
      <c r="J98" s="6" t="s">
        <v>450</v>
      </c>
      <c r="K98" s="6" t="s">
        <v>21</v>
      </c>
      <c r="L98" s="25">
        <v>0</v>
      </c>
      <c r="M98" s="6"/>
      <c r="N98" s="26"/>
      <c r="O98" s="6" t="s">
        <v>155</v>
      </c>
      <c r="P98" s="6"/>
      <c r="Q98" s="6" t="s">
        <v>437</v>
      </c>
    </row>
    <row r="99" ht="14.4">
      <c r="A99" s="6" t="s">
        <v>456</v>
      </c>
      <c r="B99" s="25">
        <v>8</v>
      </c>
      <c r="C99" s="6" t="s">
        <v>434</v>
      </c>
      <c r="D99" s="6" t="s">
        <v>457</v>
      </c>
      <c r="E99" s="6" t="s">
        <v>458</v>
      </c>
      <c r="F99" s="6" t="s">
        <v>181</v>
      </c>
      <c r="G99" s="25">
        <v>6</v>
      </c>
      <c r="H99" s="6" t="s">
        <v>231</v>
      </c>
      <c r="I99" s="6" t="s">
        <v>160</v>
      </c>
      <c r="J99" s="6" t="s">
        <v>453</v>
      </c>
      <c r="K99" s="6" t="s">
        <v>21</v>
      </c>
      <c r="L99" s="25">
        <v>0</v>
      </c>
      <c r="M99" s="6"/>
      <c r="N99" s="26"/>
      <c r="O99" s="6" t="s">
        <v>155</v>
      </c>
      <c r="P99" s="6"/>
      <c r="Q99" s="6" t="s">
        <v>437</v>
      </c>
    </row>
    <row r="100" ht="14.4">
      <c r="A100" s="6" t="s">
        <v>459</v>
      </c>
      <c r="B100" s="25">
        <v>8</v>
      </c>
      <c r="C100" s="6" t="s">
        <v>434</v>
      </c>
      <c r="D100" s="6" t="s">
        <v>460</v>
      </c>
      <c r="E100" s="6" t="s">
        <v>461</v>
      </c>
      <c r="F100" s="6" t="s">
        <v>181</v>
      </c>
      <c r="G100" s="25">
        <v>4</v>
      </c>
      <c r="H100" s="6" t="s">
        <v>220</v>
      </c>
      <c r="I100" s="6" t="s">
        <v>160</v>
      </c>
      <c r="J100" s="6" t="s">
        <v>456</v>
      </c>
      <c r="K100" s="6" t="s">
        <v>21</v>
      </c>
      <c r="L100" s="25">
        <v>0</v>
      </c>
      <c r="M100" s="6"/>
      <c r="N100" s="26"/>
      <c r="O100" s="6" t="s">
        <v>155</v>
      </c>
      <c r="P100" s="6"/>
      <c r="Q100" s="6" t="s">
        <v>437</v>
      </c>
    </row>
    <row r="101" ht="14.4">
      <c r="A101" s="6" t="s">
        <v>462</v>
      </c>
      <c r="B101" s="25">
        <v>8</v>
      </c>
      <c r="C101" s="6" t="s">
        <v>434</v>
      </c>
      <c r="D101" s="6" t="s">
        <v>463</v>
      </c>
      <c r="E101" s="6" t="s">
        <v>464</v>
      </c>
      <c r="F101" s="6" t="s">
        <v>181</v>
      </c>
      <c r="G101" s="25">
        <v>4</v>
      </c>
      <c r="H101" s="6" t="s">
        <v>220</v>
      </c>
      <c r="I101" s="6" t="s">
        <v>154</v>
      </c>
      <c r="J101" s="6" t="s">
        <v>459</v>
      </c>
      <c r="K101" s="6" t="s">
        <v>21</v>
      </c>
      <c r="L101" s="25">
        <v>0</v>
      </c>
      <c r="M101" s="6"/>
      <c r="N101" s="26"/>
      <c r="O101" s="6" t="s">
        <v>155</v>
      </c>
      <c r="P101" s="6"/>
      <c r="Q101" s="6" t="s">
        <v>437</v>
      </c>
    </row>
    <row r="102" ht="14.4">
      <c r="A102" s="6" t="s">
        <v>465</v>
      </c>
      <c r="B102" s="25">
        <v>8</v>
      </c>
      <c r="C102" s="6" t="s">
        <v>434</v>
      </c>
      <c r="D102" s="6" t="s">
        <v>466</v>
      </c>
      <c r="E102" s="6" t="s">
        <v>467</v>
      </c>
      <c r="F102" s="6" t="s">
        <v>181</v>
      </c>
      <c r="G102" s="25">
        <v>4</v>
      </c>
      <c r="H102" s="6" t="s">
        <v>220</v>
      </c>
      <c r="I102" s="6" t="s">
        <v>160</v>
      </c>
      <c r="J102" s="6" t="s">
        <v>462</v>
      </c>
      <c r="K102" s="6" t="s">
        <v>21</v>
      </c>
      <c r="L102" s="25">
        <v>0</v>
      </c>
      <c r="M102" s="6"/>
      <c r="N102" s="26"/>
      <c r="O102" s="6" t="s">
        <v>155</v>
      </c>
      <c r="P102" s="6"/>
      <c r="Q102" s="6" t="s">
        <v>437</v>
      </c>
    </row>
    <row r="103" ht="14.4">
      <c r="A103" s="6" t="s">
        <v>468</v>
      </c>
      <c r="B103" s="25">
        <v>9</v>
      </c>
      <c r="C103" s="6" t="s">
        <v>469</v>
      </c>
      <c r="D103" s="6" t="s">
        <v>470</v>
      </c>
      <c r="E103" s="6" t="s">
        <v>471</v>
      </c>
      <c r="F103" s="6" t="s">
        <v>472</v>
      </c>
      <c r="G103" s="25">
        <v>4</v>
      </c>
      <c r="H103" s="6" t="s">
        <v>220</v>
      </c>
      <c r="I103" s="6" t="s">
        <v>154</v>
      </c>
      <c r="J103" s="6"/>
      <c r="K103" s="6" t="s">
        <v>21</v>
      </c>
      <c r="L103" s="25">
        <v>0</v>
      </c>
      <c r="M103" s="6"/>
      <c r="N103" s="26"/>
      <c r="O103" s="6" t="s">
        <v>155</v>
      </c>
      <c r="P103" s="6"/>
      <c r="Q103" s="6" t="s">
        <v>473</v>
      </c>
    </row>
    <row r="104" ht="14.4">
      <c r="A104" s="6" t="s">
        <v>474</v>
      </c>
      <c r="B104" s="25">
        <v>9</v>
      </c>
      <c r="C104" s="6" t="s">
        <v>469</v>
      </c>
      <c r="D104" s="6" t="s">
        <v>475</v>
      </c>
      <c r="E104" s="6" t="s">
        <v>476</v>
      </c>
      <c r="F104" s="6" t="s">
        <v>472</v>
      </c>
      <c r="G104" s="25">
        <v>4</v>
      </c>
      <c r="H104" s="6" t="s">
        <v>220</v>
      </c>
      <c r="I104" s="6" t="s">
        <v>160</v>
      </c>
      <c r="J104" s="6" t="s">
        <v>468</v>
      </c>
      <c r="K104" s="6" t="s">
        <v>21</v>
      </c>
      <c r="L104" s="25">
        <v>0</v>
      </c>
      <c r="M104" s="6"/>
      <c r="N104" s="26"/>
      <c r="O104" s="6" t="s">
        <v>155</v>
      </c>
      <c r="P104" s="6"/>
      <c r="Q104" s="6" t="s">
        <v>473</v>
      </c>
    </row>
    <row r="105" ht="14.4">
      <c r="A105" s="6" t="s">
        <v>477</v>
      </c>
      <c r="B105" s="25">
        <v>9</v>
      </c>
      <c r="C105" s="6" t="s">
        <v>469</v>
      </c>
      <c r="D105" s="6" t="s">
        <v>478</v>
      </c>
      <c r="E105" s="6" t="s">
        <v>479</v>
      </c>
      <c r="F105" s="6" t="s">
        <v>472</v>
      </c>
      <c r="G105" s="25">
        <v>4</v>
      </c>
      <c r="H105" s="6" t="s">
        <v>220</v>
      </c>
      <c r="I105" s="6" t="s">
        <v>160</v>
      </c>
      <c r="J105" s="6" t="s">
        <v>474</v>
      </c>
      <c r="K105" s="6" t="s">
        <v>21</v>
      </c>
      <c r="L105" s="25">
        <v>0</v>
      </c>
      <c r="M105" s="6"/>
      <c r="N105" s="26"/>
      <c r="O105" s="6" t="s">
        <v>155</v>
      </c>
      <c r="P105" s="6"/>
      <c r="Q105" s="6" t="s">
        <v>473</v>
      </c>
    </row>
    <row r="106" ht="14.4">
      <c r="A106" s="6" t="s">
        <v>480</v>
      </c>
      <c r="B106" s="25">
        <v>9</v>
      </c>
      <c r="C106" s="6" t="s">
        <v>469</v>
      </c>
      <c r="D106" s="6" t="s">
        <v>481</v>
      </c>
      <c r="E106" s="6" t="s">
        <v>482</v>
      </c>
      <c r="F106" s="6" t="s">
        <v>472</v>
      </c>
      <c r="G106" s="25">
        <v>6</v>
      </c>
      <c r="H106" s="6" t="s">
        <v>231</v>
      </c>
      <c r="I106" s="6" t="s">
        <v>154</v>
      </c>
      <c r="J106" s="6" t="s">
        <v>477</v>
      </c>
      <c r="K106" s="6" t="s">
        <v>21</v>
      </c>
      <c r="L106" s="25">
        <v>0</v>
      </c>
      <c r="M106" s="6"/>
      <c r="N106" s="26"/>
      <c r="O106" s="6" t="s">
        <v>155</v>
      </c>
      <c r="P106" s="6"/>
      <c r="Q106" s="6" t="s">
        <v>473</v>
      </c>
    </row>
    <row r="107" ht="14.4">
      <c r="A107" s="6" t="s">
        <v>483</v>
      </c>
      <c r="B107" s="25">
        <v>9</v>
      </c>
      <c r="C107" s="6" t="s">
        <v>469</v>
      </c>
      <c r="D107" s="6" t="s">
        <v>484</v>
      </c>
      <c r="E107" s="6" t="s">
        <v>485</v>
      </c>
      <c r="F107" s="6" t="s">
        <v>472</v>
      </c>
      <c r="G107" s="25">
        <v>4</v>
      </c>
      <c r="H107" s="6" t="s">
        <v>220</v>
      </c>
      <c r="I107" s="6" t="s">
        <v>160</v>
      </c>
      <c r="J107" s="6" t="s">
        <v>480</v>
      </c>
      <c r="K107" s="6" t="s">
        <v>21</v>
      </c>
      <c r="L107" s="25">
        <v>0</v>
      </c>
      <c r="M107" s="6"/>
      <c r="N107" s="26"/>
      <c r="O107" s="6" t="s">
        <v>155</v>
      </c>
      <c r="P107" s="6"/>
      <c r="Q107" s="6" t="s">
        <v>473</v>
      </c>
    </row>
    <row r="108" ht="14.4">
      <c r="A108" s="6" t="s">
        <v>486</v>
      </c>
      <c r="B108" s="25">
        <v>9</v>
      </c>
      <c r="C108" s="6" t="s">
        <v>469</v>
      </c>
      <c r="D108" s="6" t="s">
        <v>487</v>
      </c>
      <c r="E108" s="6" t="s">
        <v>488</v>
      </c>
      <c r="F108" s="6" t="s">
        <v>472</v>
      </c>
      <c r="G108" s="25">
        <v>4</v>
      </c>
      <c r="H108" s="6" t="s">
        <v>220</v>
      </c>
      <c r="I108" s="6" t="s">
        <v>160</v>
      </c>
      <c r="J108" s="6" t="s">
        <v>483</v>
      </c>
      <c r="K108" s="6" t="s">
        <v>21</v>
      </c>
      <c r="L108" s="25">
        <v>0</v>
      </c>
      <c r="M108" s="6"/>
      <c r="N108" s="26"/>
      <c r="O108" s="6" t="s">
        <v>155</v>
      </c>
      <c r="P108" s="6"/>
      <c r="Q108" s="6" t="s">
        <v>473</v>
      </c>
    </row>
    <row r="109" ht="14.4">
      <c r="A109" s="6" t="s">
        <v>489</v>
      </c>
      <c r="B109" s="25">
        <v>9</v>
      </c>
      <c r="C109" s="6" t="s">
        <v>469</v>
      </c>
      <c r="D109" s="6" t="s">
        <v>490</v>
      </c>
      <c r="E109" s="6" t="s">
        <v>491</v>
      </c>
      <c r="F109" s="6" t="s">
        <v>472</v>
      </c>
      <c r="G109" s="25">
        <v>4</v>
      </c>
      <c r="H109" s="6" t="s">
        <v>220</v>
      </c>
      <c r="I109" s="6" t="s">
        <v>154</v>
      </c>
      <c r="J109" s="6" t="s">
        <v>486</v>
      </c>
      <c r="K109" s="6" t="s">
        <v>21</v>
      </c>
      <c r="L109" s="25">
        <v>0</v>
      </c>
      <c r="M109" s="6"/>
      <c r="N109" s="26"/>
      <c r="O109" s="6" t="s">
        <v>155</v>
      </c>
      <c r="P109" s="6"/>
      <c r="Q109" s="6" t="s">
        <v>473</v>
      </c>
    </row>
    <row r="110" ht="14.4">
      <c r="A110" s="6" t="s">
        <v>492</v>
      </c>
      <c r="B110" s="25">
        <v>10</v>
      </c>
      <c r="C110" s="6" t="s">
        <v>493</v>
      </c>
      <c r="D110" s="6" t="s">
        <v>494</v>
      </c>
      <c r="E110" s="6" t="s">
        <v>495</v>
      </c>
      <c r="F110" s="6" t="s">
        <v>181</v>
      </c>
      <c r="G110" s="25">
        <v>4</v>
      </c>
      <c r="H110" s="6" t="s">
        <v>220</v>
      </c>
      <c r="I110" s="6" t="s">
        <v>154</v>
      </c>
      <c r="J110" s="6"/>
      <c r="K110" s="6" t="s">
        <v>21</v>
      </c>
      <c r="L110" s="25">
        <v>0</v>
      </c>
      <c r="M110" s="6"/>
      <c r="N110" s="26"/>
      <c r="O110" s="6" t="s">
        <v>155</v>
      </c>
      <c r="P110" s="6"/>
      <c r="Q110" s="6" t="s">
        <v>496</v>
      </c>
    </row>
    <row r="111" ht="14.4">
      <c r="A111" s="6" t="s">
        <v>497</v>
      </c>
      <c r="B111" s="25">
        <v>10</v>
      </c>
      <c r="C111" s="6" t="s">
        <v>493</v>
      </c>
      <c r="D111" s="6" t="s">
        <v>498</v>
      </c>
      <c r="E111" s="6" t="s">
        <v>499</v>
      </c>
      <c r="F111" s="6" t="s">
        <v>181</v>
      </c>
      <c r="G111" s="25">
        <v>4</v>
      </c>
      <c r="H111" s="6" t="s">
        <v>220</v>
      </c>
      <c r="I111" s="6" t="s">
        <v>160</v>
      </c>
      <c r="J111" s="6" t="s">
        <v>492</v>
      </c>
      <c r="K111" s="6" t="s">
        <v>21</v>
      </c>
      <c r="L111" s="25">
        <v>0</v>
      </c>
      <c r="M111" s="6"/>
      <c r="N111" s="26"/>
      <c r="O111" s="6" t="s">
        <v>155</v>
      </c>
      <c r="P111" s="6"/>
      <c r="Q111" s="6" t="s">
        <v>496</v>
      </c>
    </row>
    <row r="112" ht="14.4">
      <c r="A112" s="6" t="s">
        <v>500</v>
      </c>
      <c r="B112" s="25">
        <v>10</v>
      </c>
      <c r="C112" s="6" t="s">
        <v>493</v>
      </c>
      <c r="D112" s="6" t="s">
        <v>501</v>
      </c>
      <c r="E112" s="6" t="s">
        <v>502</v>
      </c>
      <c r="F112" s="6" t="s">
        <v>181</v>
      </c>
      <c r="G112" s="25">
        <v>4</v>
      </c>
      <c r="H112" s="6" t="s">
        <v>220</v>
      </c>
      <c r="I112" s="6" t="s">
        <v>160</v>
      </c>
      <c r="J112" s="6" t="s">
        <v>497</v>
      </c>
      <c r="K112" s="6" t="s">
        <v>21</v>
      </c>
      <c r="L112" s="25">
        <v>0</v>
      </c>
      <c r="M112" s="6"/>
      <c r="N112" s="26"/>
      <c r="O112" s="6" t="s">
        <v>155</v>
      </c>
      <c r="P112" s="6"/>
      <c r="Q112" s="6" t="s">
        <v>496</v>
      </c>
    </row>
    <row r="113" ht="14.4">
      <c r="A113" s="6" t="s">
        <v>503</v>
      </c>
      <c r="B113" s="25">
        <v>10</v>
      </c>
      <c r="C113" s="6" t="s">
        <v>493</v>
      </c>
      <c r="D113" s="6" t="s">
        <v>504</v>
      </c>
      <c r="E113" s="6" t="s">
        <v>505</v>
      </c>
      <c r="F113" s="6" t="s">
        <v>181</v>
      </c>
      <c r="G113" s="25">
        <v>6</v>
      </c>
      <c r="H113" s="6" t="s">
        <v>231</v>
      </c>
      <c r="I113" s="6" t="s">
        <v>154</v>
      </c>
      <c r="J113" s="6" t="s">
        <v>500</v>
      </c>
      <c r="K113" s="6" t="s">
        <v>21</v>
      </c>
      <c r="L113" s="25">
        <v>0</v>
      </c>
      <c r="M113" s="6"/>
      <c r="N113" s="26"/>
      <c r="O113" s="6" t="s">
        <v>155</v>
      </c>
      <c r="P113" s="6"/>
      <c r="Q113" s="6" t="s">
        <v>496</v>
      </c>
    </row>
    <row r="114" ht="14.4">
      <c r="A114" s="6" t="s">
        <v>506</v>
      </c>
      <c r="B114" s="25">
        <v>10</v>
      </c>
      <c r="C114" s="6" t="s">
        <v>493</v>
      </c>
      <c r="D114" s="6" t="s">
        <v>507</v>
      </c>
      <c r="E114" s="6" t="s">
        <v>508</v>
      </c>
      <c r="F114" s="6" t="s">
        <v>181</v>
      </c>
      <c r="G114" s="25">
        <v>4</v>
      </c>
      <c r="H114" s="6" t="s">
        <v>220</v>
      </c>
      <c r="I114" s="6" t="s">
        <v>160</v>
      </c>
      <c r="J114" s="6" t="s">
        <v>503</v>
      </c>
      <c r="K114" s="6" t="s">
        <v>21</v>
      </c>
      <c r="L114" s="25">
        <v>0</v>
      </c>
      <c r="M114" s="6"/>
      <c r="N114" s="26"/>
      <c r="O114" s="6" t="s">
        <v>155</v>
      </c>
      <c r="P114" s="6"/>
      <c r="Q114" s="6" t="s">
        <v>496</v>
      </c>
    </row>
    <row r="115" ht="14.4">
      <c r="A115" s="6" t="s">
        <v>509</v>
      </c>
      <c r="B115" s="25">
        <v>10</v>
      </c>
      <c r="C115" s="6" t="s">
        <v>493</v>
      </c>
      <c r="D115" s="6" t="s">
        <v>510</v>
      </c>
      <c r="E115" s="6" t="s">
        <v>511</v>
      </c>
      <c r="F115" s="6" t="s">
        <v>181</v>
      </c>
      <c r="G115" s="25">
        <v>4</v>
      </c>
      <c r="H115" s="6" t="s">
        <v>220</v>
      </c>
      <c r="I115" s="6" t="s">
        <v>160</v>
      </c>
      <c r="J115" s="6" t="s">
        <v>506</v>
      </c>
      <c r="K115" s="6" t="s">
        <v>21</v>
      </c>
      <c r="L115" s="25">
        <v>0</v>
      </c>
      <c r="M115" s="6"/>
      <c r="N115" s="26"/>
      <c r="O115" s="6" t="s">
        <v>155</v>
      </c>
      <c r="P115" s="6"/>
      <c r="Q115" s="6" t="s">
        <v>496</v>
      </c>
    </row>
    <row r="116" ht="14.4">
      <c r="A116" s="6" t="s">
        <v>512</v>
      </c>
      <c r="B116" s="25">
        <v>10</v>
      </c>
      <c r="C116" s="6" t="s">
        <v>493</v>
      </c>
      <c r="D116" s="6" t="s">
        <v>513</v>
      </c>
      <c r="E116" s="6" t="s">
        <v>514</v>
      </c>
      <c r="F116" s="6" t="s">
        <v>181</v>
      </c>
      <c r="G116" s="25">
        <v>4</v>
      </c>
      <c r="H116" s="6" t="s">
        <v>220</v>
      </c>
      <c r="I116" s="6" t="s">
        <v>154</v>
      </c>
      <c r="J116" s="6" t="s">
        <v>509</v>
      </c>
      <c r="K116" s="6" t="s">
        <v>21</v>
      </c>
      <c r="L116" s="25">
        <v>0</v>
      </c>
      <c r="M116" s="6"/>
      <c r="N116" s="26"/>
      <c r="O116" s="6" t="s">
        <v>155</v>
      </c>
      <c r="P116" s="6"/>
      <c r="Q116" s="6" t="s">
        <v>496</v>
      </c>
    </row>
    <row r="117" ht="14.4">
      <c r="A117" s="6" t="s">
        <v>515</v>
      </c>
      <c r="B117" s="25">
        <v>10</v>
      </c>
      <c r="C117" s="6" t="s">
        <v>493</v>
      </c>
      <c r="D117" s="6" t="s">
        <v>516</v>
      </c>
      <c r="E117" s="6" t="s">
        <v>517</v>
      </c>
      <c r="F117" s="6" t="s">
        <v>181</v>
      </c>
      <c r="G117" s="25">
        <v>6</v>
      </c>
      <c r="H117" s="6" t="s">
        <v>231</v>
      </c>
      <c r="I117" s="6" t="s">
        <v>160</v>
      </c>
      <c r="J117" s="6" t="s">
        <v>512</v>
      </c>
      <c r="K117" s="6" t="s">
        <v>21</v>
      </c>
      <c r="L117" s="25">
        <v>0</v>
      </c>
      <c r="M117" s="6"/>
      <c r="N117" s="26"/>
      <c r="O117" s="6" t="s">
        <v>155</v>
      </c>
      <c r="P117" s="6"/>
      <c r="Q117" s="6" t="s">
        <v>496</v>
      </c>
    </row>
    <row r="118" ht="14.4">
      <c r="A118" s="6" t="s">
        <v>518</v>
      </c>
      <c r="B118" s="25">
        <v>11</v>
      </c>
      <c r="C118" s="6" t="s">
        <v>519</v>
      </c>
      <c r="D118" s="6" t="s">
        <v>520</v>
      </c>
      <c r="E118" s="6" t="s">
        <v>521</v>
      </c>
      <c r="F118" s="6" t="s">
        <v>181</v>
      </c>
      <c r="G118" s="25">
        <v>4</v>
      </c>
      <c r="H118" s="6" t="s">
        <v>220</v>
      </c>
      <c r="I118" s="6" t="s">
        <v>154</v>
      </c>
      <c r="J118" s="6"/>
      <c r="K118" s="6" t="s">
        <v>21</v>
      </c>
      <c r="L118" s="25">
        <v>0</v>
      </c>
      <c r="M118" s="6"/>
      <c r="N118" s="26"/>
      <c r="O118" s="6" t="s">
        <v>155</v>
      </c>
      <c r="P118" s="6"/>
      <c r="Q118" s="6" t="s">
        <v>522</v>
      </c>
    </row>
    <row r="119" ht="14.4">
      <c r="A119" s="6" t="s">
        <v>523</v>
      </c>
      <c r="B119" s="25">
        <v>11</v>
      </c>
      <c r="C119" s="6" t="s">
        <v>519</v>
      </c>
      <c r="D119" s="6" t="s">
        <v>524</v>
      </c>
      <c r="E119" s="6" t="s">
        <v>525</v>
      </c>
      <c r="F119" s="6" t="s">
        <v>181</v>
      </c>
      <c r="G119" s="25">
        <v>4</v>
      </c>
      <c r="H119" s="6" t="s">
        <v>220</v>
      </c>
      <c r="I119" s="6" t="s">
        <v>154</v>
      </c>
      <c r="J119" s="6" t="s">
        <v>518</v>
      </c>
      <c r="K119" s="6" t="s">
        <v>21</v>
      </c>
      <c r="L119" s="25">
        <v>0</v>
      </c>
      <c r="M119" s="6"/>
      <c r="N119" s="26"/>
      <c r="O119" s="6" t="s">
        <v>155</v>
      </c>
      <c r="P119" s="6"/>
      <c r="Q119" s="6" t="s">
        <v>522</v>
      </c>
    </row>
    <row r="120" ht="14.4">
      <c r="A120" s="6" t="s">
        <v>526</v>
      </c>
      <c r="B120" s="25">
        <v>11</v>
      </c>
      <c r="C120" s="6" t="s">
        <v>519</v>
      </c>
      <c r="D120" s="6" t="s">
        <v>527</v>
      </c>
      <c r="E120" s="6" t="s">
        <v>528</v>
      </c>
      <c r="F120" s="6" t="s">
        <v>181</v>
      </c>
      <c r="G120" s="25">
        <v>4</v>
      </c>
      <c r="H120" s="6" t="s">
        <v>220</v>
      </c>
      <c r="I120" s="6" t="s">
        <v>154</v>
      </c>
      <c r="J120" s="6" t="s">
        <v>523</v>
      </c>
      <c r="K120" s="6" t="s">
        <v>21</v>
      </c>
      <c r="L120" s="25">
        <v>0</v>
      </c>
      <c r="M120" s="6"/>
      <c r="N120" s="26"/>
      <c r="O120" s="6" t="s">
        <v>155</v>
      </c>
      <c r="P120" s="6"/>
      <c r="Q120" s="6" t="s">
        <v>522</v>
      </c>
    </row>
    <row r="121" ht="14.4">
      <c r="A121" s="6" t="s">
        <v>529</v>
      </c>
      <c r="B121" s="25">
        <v>11</v>
      </c>
      <c r="C121" s="6" t="s">
        <v>519</v>
      </c>
      <c r="D121" s="6" t="s">
        <v>530</v>
      </c>
      <c r="E121" s="6" t="s">
        <v>531</v>
      </c>
      <c r="F121" s="6" t="s">
        <v>181</v>
      </c>
      <c r="G121" s="25">
        <v>6</v>
      </c>
      <c r="H121" s="6" t="s">
        <v>231</v>
      </c>
      <c r="I121" s="6" t="s">
        <v>154</v>
      </c>
      <c r="J121" s="6" t="s">
        <v>526</v>
      </c>
      <c r="K121" s="6" t="s">
        <v>21</v>
      </c>
      <c r="L121" s="25">
        <v>0</v>
      </c>
      <c r="M121" s="6"/>
      <c r="N121" s="26"/>
      <c r="O121" s="6" t="s">
        <v>155</v>
      </c>
      <c r="P121" s="6"/>
      <c r="Q121" s="6" t="s">
        <v>522</v>
      </c>
    </row>
    <row r="122" ht="14.4">
      <c r="A122" s="6" t="s">
        <v>532</v>
      </c>
      <c r="B122" s="25">
        <v>11</v>
      </c>
      <c r="C122" s="6" t="s">
        <v>519</v>
      </c>
      <c r="D122" s="6" t="s">
        <v>533</v>
      </c>
      <c r="E122" s="6" t="s">
        <v>534</v>
      </c>
      <c r="F122" s="6" t="s">
        <v>181</v>
      </c>
      <c r="G122" s="25">
        <v>4</v>
      </c>
      <c r="H122" s="6" t="s">
        <v>220</v>
      </c>
      <c r="I122" s="6" t="s">
        <v>154</v>
      </c>
      <c r="J122" s="6" t="s">
        <v>529</v>
      </c>
      <c r="K122" s="6" t="s">
        <v>21</v>
      </c>
      <c r="L122" s="25">
        <v>0</v>
      </c>
      <c r="M122" s="6"/>
      <c r="N122" s="26"/>
      <c r="O122" s="6" t="s">
        <v>155</v>
      </c>
      <c r="P122" s="6"/>
      <c r="Q122" s="6" t="s">
        <v>522</v>
      </c>
    </row>
    <row r="123" ht="14.4">
      <c r="A123" s="6" t="s">
        <v>535</v>
      </c>
      <c r="B123" s="25">
        <v>11</v>
      </c>
      <c r="C123" s="6" t="s">
        <v>519</v>
      </c>
      <c r="D123" s="6" t="s">
        <v>536</v>
      </c>
      <c r="E123" s="6" t="s">
        <v>537</v>
      </c>
      <c r="F123" s="6" t="s">
        <v>181</v>
      </c>
      <c r="G123" s="25">
        <v>4</v>
      </c>
      <c r="H123" s="6" t="s">
        <v>220</v>
      </c>
      <c r="I123" s="6" t="s">
        <v>154</v>
      </c>
      <c r="J123" s="6" t="s">
        <v>532</v>
      </c>
      <c r="K123" s="6" t="s">
        <v>21</v>
      </c>
      <c r="L123" s="25">
        <v>0</v>
      </c>
      <c r="M123" s="6"/>
      <c r="N123" s="26"/>
      <c r="O123" s="6" t="s">
        <v>155</v>
      </c>
      <c r="P123" s="6"/>
      <c r="Q123" s="6" t="s">
        <v>522</v>
      </c>
    </row>
    <row r="124" ht="14.4">
      <c r="A124" s="6" t="s">
        <v>538</v>
      </c>
      <c r="B124" s="25">
        <v>11</v>
      </c>
      <c r="C124" s="6" t="s">
        <v>519</v>
      </c>
      <c r="D124" s="6" t="s">
        <v>539</v>
      </c>
      <c r="E124" s="6" t="s">
        <v>540</v>
      </c>
      <c r="F124" s="6" t="s">
        <v>181</v>
      </c>
      <c r="G124" s="25">
        <v>4</v>
      </c>
      <c r="H124" s="6" t="s">
        <v>220</v>
      </c>
      <c r="I124" s="6" t="s">
        <v>154</v>
      </c>
      <c r="J124" s="6" t="s">
        <v>535</v>
      </c>
      <c r="K124" s="6" t="s">
        <v>21</v>
      </c>
      <c r="L124" s="25">
        <v>0</v>
      </c>
      <c r="M124" s="6"/>
      <c r="N124" s="26"/>
      <c r="O124" s="6" t="s">
        <v>155</v>
      </c>
      <c r="P124" s="6"/>
      <c r="Q124" s="6" t="s">
        <v>522</v>
      </c>
    </row>
    <row r="125" ht="14.4">
      <c r="A125" s="6" t="s">
        <v>541</v>
      </c>
      <c r="B125" s="25">
        <v>11</v>
      </c>
      <c r="C125" s="6" t="s">
        <v>519</v>
      </c>
      <c r="D125" s="6" t="s">
        <v>542</v>
      </c>
      <c r="E125" s="6" t="s">
        <v>543</v>
      </c>
      <c r="F125" s="6" t="s">
        <v>181</v>
      </c>
      <c r="G125" s="25">
        <v>6</v>
      </c>
      <c r="H125" s="6" t="s">
        <v>231</v>
      </c>
      <c r="I125" s="6" t="s">
        <v>154</v>
      </c>
      <c r="J125" s="6" t="s">
        <v>538</v>
      </c>
      <c r="K125" s="6" t="s">
        <v>21</v>
      </c>
      <c r="L125" s="25">
        <v>0</v>
      </c>
      <c r="M125" s="6"/>
      <c r="N125" s="26"/>
      <c r="O125" s="6" t="s">
        <v>155</v>
      </c>
      <c r="P125" s="6"/>
      <c r="Q125" s="6" t="s">
        <v>522</v>
      </c>
    </row>
    <row r="126" ht="14.4">
      <c r="A126" s="6" t="s">
        <v>544</v>
      </c>
      <c r="B126" s="25">
        <v>12</v>
      </c>
      <c r="C126" s="6" t="s">
        <v>545</v>
      </c>
      <c r="D126" s="6" t="s">
        <v>546</v>
      </c>
      <c r="E126" s="6" t="s">
        <v>547</v>
      </c>
      <c r="F126" s="6" t="s">
        <v>181</v>
      </c>
      <c r="G126" s="25">
        <v>4</v>
      </c>
      <c r="H126" s="6" t="s">
        <v>220</v>
      </c>
      <c r="I126" s="6" t="s">
        <v>154</v>
      </c>
      <c r="J126" s="6"/>
      <c r="K126" s="6" t="s">
        <v>21</v>
      </c>
      <c r="L126" s="25">
        <v>0</v>
      </c>
      <c r="M126" s="6"/>
      <c r="N126" s="26"/>
      <c r="O126" s="6" t="s">
        <v>155</v>
      </c>
      <c r="P126" s="6"/>
      <c r="Q126" s="6" t="s">
        <v>548</v>
      </c>
    </row>
    <row r="127" ht="14.4">
      <c r="A127" s="6" t="s">
        <v>549</v>
      </c>
      <c r="B127" s="25">
        <v>12</v>
      </c>
      <c r="C127" s="6" t="s">
        <v>545</v>
      </c>
      <c r="D127" s="6" t="s">
        <v>550</v>
      </c>
      <c r="E127" s="6" t="s">
        <v>551</v>
      </c>
      <c r="F127" s="6" t="s">
        <v>181</v>
      </c>
      <c r="G127" s="25">
        <v>4</v>
      </c>
      <c r="H127" s="6" t="s">
        <v>220</v>
      </c>
      <c r="I127" s="6" t="s">
        <v>160</v>
      </c>
      <c r="J127" s="6" t="s">
        <v>544</v>
      </c>
      <c r="K127" s="6" t="s">
        <v>21</v>
      </c>
      <c r="L127" s="25">
        <v>0</v>
      </c>
      <c r="M127" s="6"/>
      <c r="N127" s="26"/>
      <c r="O127" s="6" t="s">
        <v>155</v>
      </c>
      <c r="P127" s="6"/>
      <c r="Q127" s="6" t="s">
        <v>548</v>
      </c>
    </row>
    <row r="128" ht="14.4">
      <c r="A128" s="6" t="s">
        <v>552</v>
      </c>
      <c r="B128" s="25">
        <v>12</v>
      </c>
      <c r="C128" s="6" t="s">
        <v>545</v>
      </c>
      <c r="D128" s="6" t="s">
        <v>553</v>
      </c>
      <c r="E128" s="6" t="s">
        <v>554</v>
      </c>
      <c r="F128" s="6" t="s">
        <v>181</v>
      </c>
      <c r="G128" s="25">
        <v>4</v>
      </c>
      <c r="H128" s="6" t="s">
        <v>220</v>
      </c>
      <c r="I128" s="6" t="s">
        <v>160</v>
      </c>
      <c r="J128" s="6" t="s">
        <v>549</v>
      </c>
      <c r="K128" s="6" t="s">
        <v>21</v>
      </c>
      <c r="L128" s="25">
        <v>0</v>
      </c>
      <c r="M128" s="6"/>
      <c r="N128" s="26"/>
      <c r="O128" s="6" t="s">
        <v>155</v>
      </c>
      <c r="P128" s="6"/>
      <c r="Q128" s="6" t="s">
        <v>548</v>
      </c>
    </row>
    <row r="129" ht="14.4">
      <c r="A129" s="6" t="s">
        <v>555</v>
      </c>
      <c r="B129" s="25">
        <v>12</v>
      </c>
      <c r="C129" s="6" t="s">
        <v>545</v>
      </c>
      <c r="D129" s="6" t="s">
        <v>556</v>
      </c>
      <c r="E129" s="6" t="s">
        <v>557</v>
      </c>
      <c r="F129" s="6" t="s">
        <v>181</v>
      </c>
      <c r="G129" s="25">
        <v>6</v>
      </c>
      <c r="H129" s="6" t="s">
        <v>231</v>
      </c>
      <c r="I129" s="6" t="s">
        <v>154</v>
      </c>
      <c r="J129" s="6" t="s">
        <v>552</v>
      </c>
      <c r="K129" s="6" t="s">
        <v>21</v>
      </c>
      <c r="L129" s="25">
        <v>0</v>
      </c>
      <c r="M129" s="6"/>
      <c r="N129" s="26"/>
      <c r="O129" s="6" t="s">
        <v>155</v>
      </c>
      <c r="P129" s="6"/>
      <c r="Q129" s="6" t="s">
        <v>548</v>
      </c>
    </row>
    <row r="130" ht="14.4">
      <c r="A130" s="6" t="s">
        <v>558</v>
      </c>
      <c r="B130" s="25">
        <v>12</v>
      </c>
      <c r="C130" s="6" t="s">
        <v>545</v>
      </c>
      <c r="D130" s="6" t="s">
        <v>559</v>
      </c>
      <c r="E130" s="6" t="s">
        <v>560</v>
      </c>
      <c r="F130" s="6" t="s">
        <v>181</v>
      </c>
      <c r="G130" s="25">
        <v>4</v>
      </c>
      <c r="H130" s="6" t="s">
        <v>220</v>
      </c>
      <c r="I130" s="6" t="s">
        <v>160</v>
      </c>
      <c r="J130" s="6" t="s">
        <v>555</v>
      </c>
      <c r="K130" s="6" t="s">
        <v>21</v>
      </c>
      <c r="L130" s="25">
        <v>0</v>
      </c>
      <c r="M130" s="6"/>
      <c r="N130" s="26"/>
      <c r="O130" s="6" t="s">
        <v>155</v>
      </c>
      <c r="P130" s="6"/>
      <c r="Q130" s="6" t="s">
        <v>548</v>
      </c>
    </row>
    <row r="131" ht="14.4">
      <c r="A131" s="6" t="s">
        <v>561</v>
      </c>
      <c r="B131" s="25">
        <v>12</v>
      </c>
      <c r="C131" s="6" t="s">
        <v>545</v>
      </c>
      <c r="D131" s="6" t="s">
        <v>562</v>
      </c>
      <c r="E131" s="6" t="s">
        <v>563</v>
      </c>
      <c r="F131" s="6" t="s">
        <v>181</v>
      </c>
      <c r="G131" s="25">
        <v>4</v>
      </c>
      <c r="H131" s="6" t="s">
        <v>220</v>
      </c>
      <c r="I131" s="6" t="s">
        <v>160</v>
      </c>
      <c r="J131" s="6" t="s">
        <v>558</v>
      </c>
      <c r="K131" s="6" t="s">
        <v>21</v>
      </c>
      <c r="L131" s="25">
        <v>0</v>
      </c>
      <c r="M131" s="6"/>
      <c r="N131" s="26"/>
      <c r="O131" s="6" t="s">
        <v>155</v>
      </c>
      <c r="P131" s="6"/>
      <c r="Q131" s="6" t="s">
        <v>548</v>
      </c>
    </row>
    <row r="132" ht="14.4">
      <c r="A132" s="6" t="s">
        <v>564</v>
      </c>
      <c r="B132" s="25">
        <v>12</v>
      </c>
      <c r="C132" s="6" t="s">
        <v>545</v>
      </c>
      <c r="D132" s="6" t="s">
        <v>565</v>
      </c>
      <c r="E132" s="6" t="s">
        <v>566</v>
      </c>
      <c r="F132" s="6" t="s">
        <v>181</v>
      </c>
      <c r="G132" s="25">
        <v>4</v>
      </c>
      <c r="H132" s="6" t="s">
        <v>220</v>
      </c>
      <c r="I132" s="6" t="s">
        <v>154</v>
      </c>
      <c r="J132" s="6" t="s">
        <v>561</v>
      </c>
      <c r="K132" s="6" t="s">
        <v>21</v>
      </c>
      <c r="L132" s="25">
        <v>0</v>
      </c>
      <c r="M132" s="6"/>
      <c r="N132" s="26"/>
      <c r="O132" s="6" t="s">
        <v>155</v>
      </c>
      <c r="P132" s="6"/>
      <c r="Q132" s="6" t="s">
        <v>548</v>
      </c>
    </row>
    <row r="133" ht="14.4">
      <c r="A133" s="6" t="s">
        <v>567</v>
      </c>
      <c r="B133" s="25">
        <v>12</v>
      </c>
      <c r="C133" s="6" t="s">
        <v>545</v>
      </c>
      <c r="D133" s="6" t="s">
        <v>568</v>
      </c>
      <c r="E133" s="6" t="s">
        <v>569</v>
      </c>
      <c r="F133" s="6" t="s">
        <v>181</v>
      </c>
      <c r="G133" s="25">
        <v>6</v>
      </c>
      <c r="H133" s="6" t="s">
        <v>231</v>
      </c>
      <c r="I133" s="6" t="s">
        <v>160</v>
      </c>
      <c r="J133" s="6" t="s">
        <v>564</v>
      </c>
      <c r="K133" s="6" t="s">
        <v>21</v>
      </c>
      <c r="L133" s="25">
        <v>0</v>
      </c>
      <c r="M133" s="6"/>
      <c r="N133" s="26"/>
      <c r="O133" s="6" t="s">
        <v>155</v>
      </c>
      <c r="P133" s="6"/>
      <c r="Q133" s="6" t="s">
        <v>548</v>
      </c>
    </row>
    <row r="134" ht="14.4">
      <c r="A134" s="6" t="s">
        <v>570</v>
      </c>
      <c r="B134" s="25">
        <v>13</v>
      </c>
      <c r="C134" s="6" t="s">
        <v>571</v>
      </c>
      <c r="D134" s="6" t="s">
        <v>572</v>
      </c>
      <c r="E134" s="6" t="s">
        <v>573</v>
      </c>
      <c r="F134" s="6" t="s">
        <v>181</v>
      </c>
      <c r="G134" s="25">
        <v>4</v>
      </c>
      <c r="H134" s="6" t="s">
        <v>220</v>
      </c>
      <c r="I134" s="6" t="s">
        <v>154</v>
      </c>
      <c r="J134" s="6"/>
      <c r="K134" s="6" t="s">
        <v>21</v>
      </c>
      <c r="L134" s="25">
        <v>0</v>
      </c>
      <c r="M134" s="6"/>
      <c r="N134" s="26"/>
      <c r="O134" s="6" t="s">
        <v>155</v>
      </c>
      <c r="P134" s="6"/>
      <c r="Q134" s="6" t="s">
        <v>574</v>
      </c>
    </row>
    <row r="135" ht="14.4">
      <c r="A135" s="6" t="s">
        <v>575</v>
      </c>
      <c r="B135" s="25">
        <v>13</v>
      </c>
      <c r="C135" s="6" t="s">
        <v>571</v>
      </c>
      <c r="D135" s="6" t="s">
        <v>576</v>
      </c>
      <c r="E135" s="6" t="s">
        <v>577</v>
      </c>
      <c r="F135" s="6" t="s">
        <v>181</v>
      </c>
      <c r="G135" s="25">
        <v>4</v>
      </c>
      <c r="H135" s="6" t="s">
        <v>220</v>
      </c>
      <c r="I135" s="6" t="s">
        <v>154</v>
      </c>
      <c r="J135" s="6" t="s">
        <v>570</v>
      </c>
      <c r="K135" s="6" t="s">
        <v>21</v>
      </c>
      <c r="L135" s="25">
        <v>0</v>
      </c>
      <c r="M135" s="6"/>
      <c r="N135" s="26"/>
      <c r="O135" s="6" t="s">
        <v>155</v>
      </c>
      <c r="P135" s="6"/>
      <c r="Q135" s="6" t="s">
        <v>574</v>
      </c>
    </row>
    <row r="136" ht="14.4">
      <c r="A136" s="6" t="s">
        <v>578</v>
      </c>
      <c r="B136" s="25">
        <v>13</v>
      </c>
      <c r="C136" s="6" t="s">
        <v>571</v>
      </c>
      <c r="D136" s="6" t="s">
        <v>579</v>
      </c>
      <c r="E136" s="6" t="s">
        <v>580</v>
      </c>
      <c r="F136" s="6" t="s">
        <v>181</v>
      </c>
      <c r="G136" s="25">
        <v>4</v>
      </c>
      <c r="H136" s="6" t="s">
        <v>220</v>
      </c>
      <c r="I136" s="6" t="s">
        <v>154</v>
      </c>
      <c r="J136" s="6" t="s">
        <v>575</v>
      </c>
      <c r="K136" s="6" t="s">
        <v>21</v>
      </c>
      <c r="L136" s="25">
        <v>0</v>
      </c>
      <c r="M136" s="6"/>
      <c r="N136" s="26"/>
      <c r="O136" s="6" t="s">
        <v>155</v>
      </c>
      <c r="P136" s="6"/>
      <c r="Q136" s="6" t="s">
        <v>574</v>
      </c>
    </row>
    <row r="137" ht="14.4">
      <c r="A137" s="6" t="s">
        <v>581</v>
      </c>
      <c r="B137" s="25">
        <v>13</v>
      </c>
      <c r="C137" s="6" t="s">
        <v>571</v>
      </c>
      <c r="D137" s="6" t="s">
        <v>582</v>
      </c>
      <c r="E137" s="6" t="s">
        <v>583</v>
      </c>
      <c r="F137" s="6" t="s">
        <v>181</v>
      </c>
      <c r="G137" s="25">
        <v>6</v>
      </c>
      <c r="H137" s="6" t="s">
        <v>231</v>
      </c>
      <c r="I137" s="6" t="s">
        <v>154</v>
      </c>
      <c r="J137" s="6" t="s">
        <v>578</v>
      </c>
      <c r="K137" s="6" t="s">
        <v>21</v>
      </c>
      <c r="L137" s="25">
        <v>0</v>
      </c>
      <c r="M137" s="6"/>
      <c r="N137" s="26"/>
      <c r="O137" s="6" t="s">
        <v>155</v>
      </c>
      <c r="P137" s="6"/>
      <c r="Q137" s="6" t="s">
        <v>574</v>
      </c>
    </row>
    <row r="138" ht="14.4">
      <c r="A138" s="6" t="s">
        <v>584</v>
      </c>
      <c r="B138" s="25">
        <v>13</v>
      </c>
      <c r="C138" s="6" t="s">
        <v>571</v>
      </c>
      <c r="D138" s="6" t="s">
        <v>585</v>
      </c>
      <c r="E138" s="6" t="s">
        <v>586</v>
      </c>
      <c r="F138" s="6" t="s">
        <v>181</v>
      </c>
      <c r="G138" s="25">
        <v>4</v>
      </c>
      <c r="H138" s="6" t="s">
        <v>220</v>
      </c>
      <c r="I138" s="6" t="s">
        <v>154</v>
      </c>
      <c r="J138" s="6" t="s">
        <v>581</v>
      </c>
      <c r="K138" s="6" t="s">
        <v>21</v>
      </c>
      <c r="L138" s="25">
        <v>0</v>
      </c>
      <c r="M138" s="6"/>
      <c r="N138" s="26"/>
      <c r="O138" s="6" t="s">
        <v>155</v>
      </c>
      <c r="P138" s="6"/>
      <c r="Q138" s="6" t="s">
        <v>574</v>
      </c>
    </row>
    <row r="139" ht="14.4">
      <c r="A139" s="6" t="s">
        <v>587</v>
      </c>
      <c r="B139" s="25">
        <v>13</v>
      </c>
      <c r="C139" s="6" t="s">
        <v>571</v>
      </c>
      <c r="D139" s="6" t="s">
        <v>588</v>
      </c>
      <c r="E139" s="6" t="s">
        <v>589</v>
      </c>
      <c r="F139" s="6" t="s">
        <v>181</v>
      </c>
      <c r="G139" s="25">
        <v>4</v>
      </c>
      <c r="H139" s="6" t="s">
        <v>220</v>
      </c>
      <c r="I139" s="6" t="s">
        <v>154</v>
      </c>
      <c r="J139" s="6" t="s">
        <v>584</v>
      </c>
      <c r="K139" s="6" t="s">
        <v>21</v>
      </c>
      <c r="L139" s="25">
        <v>0</v>
      </c>
      <c r="M139" s="6"/>
      <c r="N139" s="26"/>
      <c r="O139" s="6" t="s">
        <v>155</v>
      </c>
      <c r="P139" s="6"/>
      <c r="Q139" s="6" t="s">
        <v>574</v>
      </c>
    </row>
    <row r="140" ht="14.4">
      <c r="A140" s="6" t="s">
        <v>590</v>
      </c>
      <c r="B140" s="25">
        <v>13</v>
      </c>
      <c r="C140" s="6" t="s">
        <v>571</v>
      </c>
      <c r="D140" s="6" t="s">
        <v>591</v>
      </c>
      <c r="E140" s="6" t="s">
        <v>592</v>
      </c>
      <c r="F140" s="6" t="s">
        <v>181</v>
      </c>
      <c r="G140" s="25">
        <v>4</v>
      </c>
      <c r="H140" s="6" t="s">
        <v>220</v>
      </c>
      <c r="I140" s="6" t="s">
        <v>154</v>
      </c>
      <c r="J140" s="6" t="s">
        <v>587</v>
      </c>
      <c r="K140" s="6" t="s">
        <v>21</v>
      </c>
      <c r="L140" s="25">
        <v>0</v>
      </c>
      <c r="M140" s="6"/>
      <c r="N140" s="26"/>
      <c r="O140" s="6" t="s">
        <v>155</v>
      </c>
      <c r="P140" s="6"/>
      <c r="Q140" s="6" t="s">
        <v>574</v>
      </c>
    </row>
    <row r="141" ht="14.4">
      <c r="A141" s="6" t="s">
        <v>593</v>
      </c>
      <c r="B141" s="25">
        <v>13</v>
      </c>
      <c r="C141" s="6" t="s">
        <v>571</v>
      </c>
      <c r="D141" s="6" t="s">
        <v>594</v>
      </c>
      <c r="E141" s="6" t="s">
        <v>595</v>
      </c>
      <c r="F141" s="6" t="s">
        <v>181</v>
      </c>
      <c r="G141" s="25">
        <v>6</v>
      </c>
      <c r="H141" s="6" t="s">
        <v>231</v>
      </c>
      <c r="I141" s="6" t="s">
        <v>154</v>
      </c>
      <c r="J141" s="6" t="s">
        <v>590</v>
      </c>
      <c r="K141" s="6" t="s">
        <v>21</v>
      </c>
      <c r="L141" s="25">
        <v>0</v>
      </c>
      <c r="M141" s="6"/>
      <c r="N141" s="26"/>
      <c r="O141" s="6" t="s">
        <v>155</v>
      </c>
      <c r="P141" s="6"/>
      <c r="Q141" s="6" t="s">
        <v>574</v>
      </c>
    </row>
    <row r="142" ht="14.4">
      <c r="A142" s="6" t="s">
        <v>596</v>
      </c>
      <c r="B142" s="25">
        <v>13</v>
      </c>
      <c r="C142" s="6" t="s">
        <v>571</v>
      </c>
      <c r="D142" s="6" t="s">
        <v>597</v>
      </c>
      <c r="E142" s="6" t="s">
        <v>598</v>
      </c>
      <c r="F142" s="6" t="s">
        <v>181</v>
      </c>
      <c r="G142" s="25">
        <v>4</v>
      </c>
      <c r="H142" s="6" t="s">
        <v>220</v>
      </c>
      <c r="I142" s="6" t="s">
        <v>154</v>
      </c>
      <c r="J142" s="6" t="s">
        <v>593</v>
      </c>
      <c r="K142" s="6" t="s">
        <v>21</v>
      </c>
      <c r="L142" s="25">
        <v>0</v>
      </c>
      <c r="M142" s="6"/>
      <c r="N142" s="26"/>
      <c r="O142" s="6" t="s">
        <v>155</v>
      </c>
      <c r="P142" s="6"/>
      <c r="Q142" s="6" t="s">
        <v>574</v>
      </c>
    </row>
    <row r="143" ht="14.4">
      <c r="A143" s="6" t="s">
        <v>599</v>
      </c>
      <c r="B143" s="25">
        <v>13</v>
      </c>
      <c r="C143" s="6" t="s">
        <v>571</v>
      </c>
      <c r="D143" s="6" t="s">
        <v>600</v>
      </c>
      <c r="E143" s="6" t="s">
        <v>601</v>
      </c>
      <c r="F143" s="6" t="s">
        <v>181</v>
      </c>
      <c r="G143" s="25">
        <v>4</v>
      </c>
      <c r="H143" s="6" t="s">
        <v>220</v>
      </c>
      <c r="I143" s="6" t="s">
        <v>154</v>
      </c>
      <c r="J143" s="6" t="s">
        <v>596</v>
      </c>
      <c r="K143" s="6" t="s">
        <v>21</v>
      </c>
      <c r="L143" s="25">
        <v>0</v>
      </c>
      <c r="M143" s="6"/>
      <c r="N143" s="26"/>
      <c r="O143" s="6" t="s">
        <v>155</v>
      </c>
      <c r="P143" s="6"/>
      <c r="Q143" s="6" t="s">
        <v>574</v>
      </c>
    </row>
    <row r="144" ht="14.4">
      <c r="A144" s="6" t="s">
        <v>602</v>
      </c>
      <c r="B144" s="25">
        <v>14</v>
      </c>
      <c r="C144" s="6" t="s">
        <v>603</v>
      </c>
      <c r="D144" s="6" t="s">
        <v>604</v>
      </c>
      <c r="E144" s="6" t="s">
        <v>605</v>
      </c>
      <c r="F144" s="6" t="s">
        <v>181</v>
      </c>
      <c r="G144" s="25">
        <v>4</v>
      </c>
      <c r="H144" s="6" t="s">
        <v>220</v>
      </c>
      <c r="I144" s="6" t="s">
        <v>154</v>
      </c>
      <c r="J144" s="6"/>
      <c r="K144" s="6" t="s">
        <v>21</v>
      </c>
      <c r="L144" s="25">
        <v>0</v>
      </c>
      <c r="M144" s="6"/>
      <c r="N144" s="26"/>
      <c r="O144" s="6" t="s">
        <v>155</v>
      </c>
      <c r="P144" s="6"/>
      <c r="Q144" s="6" t="s">
        <v>606</v>
      </c>
    </row>
    <row r="145" ht="14.4">
      <c r="A145" s="6" t="s">
        <v>607</v>
      </c>
      <c r="B145" s="25">
        <v>14</v>
      </c>
      <c r="C145" s="6" t="s">
        <v>603</v>
      </c>
      <c r="D145" s="6" t="s">
        <v>608</v>
      </c>
      <c r="E145" s="6" t="s">
        <v>609</v>
      </c>
      <c r="F145" s="6" t="s">
        <v>181</v>
      </c>
      <c r="G145" s="25">
        <v>4</v>
      </c>
      <c r="H145" s="6" t="s">
        <v>220</v>
      </c>
      <c r="I145" s="6" t="s">
        <v>160</v>
      </c>
      <c r="J145" s="6" t="s">
        <v>602</v>
      </c>
      <c r="K145" s="6" t="s">
        <v>21</v>
      </c>
      <c r="L145" s="25">
        <v>0</v>
      </c>
      <c r="M145" s="6"/>
      <c r="N145" s="26"/>
      <c r="O145" s="6" t="s">
        <v>155</v>
      </c>
      <c r="P145" s="6"/>
      <c r="Q145" s="6" t="s">
        <v>606</v>
      </c>
    </row>
    <row r="146" ht="14.4">
      <c r="A146" s="6" t="s">
        <v>610</v>
      </c>
      <c r="B146" s="25">
        <v>14</v>
      </c>
      <c r="C146" s="6" t="s">
        <v>603</v>
      </c>
      <c r="D146" s="6" t="s">
        <v>611</v>
      </c>
      <c r="E146" s="6" t="s">
        <v>612</v>
      </c>
      <c r="F146" s="6" t="s">
        <v>181</v>
      </c>
      <c r="G146" s="25">
        <v>4</v>
      </c>
      <c r="H146" s="6" t="s">
        <v>220</v>
      </c>
      <c r="I146" s="6" t="s">
        <v>160</v>
      </c>
      <c r="J146" s="6" t="s">
        <v>607</v>
      </c>
      <c r="K146" s="6" t="s">
        <v>21</v>
      </c>
      <c r="L146" s="25">
        <v>0</v>
      </c>
      <c r="M146" s="6"/>
      <c r="N146" s="26"/>
      <c r="O146" s="6" t="s">
        <v>155</v>
      </c>
      <c r="P146" s="6"/>
      <c r="Q146" s="6" t="s">
        <v>606</v>
      </c>
    </row>
    <row r="147" ht="14.4">
      <c r="A147" s="6" t="s">
        <v>613</v>
      </c>
      <c r="B147" s="25">
        <v>14</v>
      </c>
      <c r="C147" s="6" t="s">
        <v>603</v>
      </c>
      <c r="D147" s="6" t="s">
        <v>614</v>
      </c>
      <c r="E147" s="6" t="s">
        <v>615</v>
      </c>
      <c r="F147" s="6" t="s">
        <v>181</v>
      </c>
      <c r="G147" s="25">
        <v>6</v>
      </c>
      <c r="H147" s="6" t="s">
        <v>231</v>
      </c>
      <c r="I147" s="6" t="s">
        <v>154</v>
      </c>
      <c r="J147" s="6" t="s">
        <v>610</v>
      </c>
      <c r="K147" s="6" t="s">
        <v>21</v>
      </c>
      <c r="L147" s="25">
        <v>0</v>
      </c>
      <c r="M147" s="6"/>
      <c r="N147" s="26"/>
      <c r="O147" s="6" t="s">
        <v>155</v>
      </c>
      <c r="P147" s="6"/>
      <c r="Q147" s="6" t="s">
        <v>606</v>
      </c>
    </row>
    <row r="148" ht="14.4">
      <c r="A148" s="6" t="s">
        <v>616</v>
      </c>
      <c r="B148" s="25">
        <v>14</v>
      </c>
      <c r="C148" s="6" t="s">
        <v>603</v>
      </c>
      <c r="D148" s="6" t="s">
        <v>617</v>
      </c>
      <c r="E148" s="6" t="s">
        <v>618</v>
      </c>
      <c r="F148" s="6" t="s">
        <v>181</v>
      </c>
      <c r="G148" s="25">
        <v>4</v>
      </c>
      <c r="H148" s="6" t="s">
        <v>220</v>
      </c>
      <c r="I148" s="6" t="s">
        <v>160</v>
      </c>
      <c r="J148" s="6" t="s">
        <v>613</v>
      </c>
      <c r="K148" s="6" t="s">
        <v>21</v>
      </c>
      <c r="L148" s="25">
        <v>0</v>
      </c>
      <c r="M148" s="6"/>
      <c r="N148" s="26"/>
      <c r="O148" s="6" t="s">
        <v>155</v>
      </c>
      <c r="P148" s="6"/>
      <c r="Q148" s="6" t="s">
        <v>606</v>
      </c>
    </row>
    <row r="149" ht="14.4">
      <c r="A149" s="6" t="s">
        <v>619</v>
      </c>
      <c r="B149" s="25">
        <v>14</v>
      </c>
      <c r="C149" s="6" t="s">
        <v>603</v>
      </c>
      <c r="D149" s="6" t="s">
        <v>620</v>
      </c>
      <c r="E149" s="6" t="s">
        <v>621</v>
      </c>
      <c r="F149" s="6" t="s">
        <v>181</v>
      </c>
      <c r="G149" s="25">
        <v>4</v>
      </c>
      <c r="H149" s="6" t="s">
        <v>220</v>
      </c>
      <c r="I149" s="6" t="s">
        <v>160</v>
      </c>
      <c r="J149" s="6" t="s">
        <v>616</v>
      </c>
      <c r="K149" s="6" t="s">
        <v>21</v>
      </c>
      <c r="L149" s="25">
        <v>0</v>
      </c>
      <c r="M149" s="6"/>
      <c r="N149" s="26"/>
      <c r="O149" s="6" t="s">
        <v>155</v>
      </c>
      <c r="P149" s="6"/>
      <c r="Q149" s="6" t="s">
        <v>606</v>
      </c>
    </row>
    <row r="150" ht="14.4">
      <c r="A150" s="6" t="s">
        <v>622</v>
      </c>
      <c r="B150" s="25">
        <v>14</v>
      </c>
      <c r="C150" s="6" t="s">
        <v>603</v>
      </c>
      <c r="D150" s="6" t="s">
        <v>623</v>
      </c>
      <c r="E150" s="6" t="s">
        <v>624</v>
      </c>
      <c r="F150" s="6" t="s">
        <v>181</v>
      </c>
      <c r="G150" s="25">
        <v>4</v>
      </c>
      <c r="H150" s="6" t="s">
        <v>220</v>
      </c>
      <c r="I150" s="6" t="s">
        <v>154</v>
      </c>
      <c r="J150" s="6" t="s">
        <v>619</v>
      </c>
      <c r="K150" s="6" t="s">
        <v>21</v>
      </c>
      <c r="L150" s="25">
        <v>0</v>
      </c>
      <c r="M150" s="6"/>
      <c r="N150" s="26"/>
      <c r="O150" s="6" t="s">
        <v>155</v>
      </c>
      <c r="P150" s="6"/>
      <c r="Q150" s="6" t="s">
        <v>606</v>
      </c>
    </row>
    <row r="151" ht="14.4">
      <c r="A151" s="6" t="s">
        <v>625</v>
      </c>
      <c r="B151" s="25">
        <v>14</v>
      </c>
      <c r="C151" s="6" t="s">
        <v>603</v>
      </c>
      <c r="D151" s="6" t="s">
        <v>626</v>
      </c>
      <c r="E151" s="6" t="s">
        <v>627</v>
      </c>
      <c r="F151" s="6" t="s">
        <v>181</v>
      </c>
      <c r="G151" s="25">
        <v>6</v>
      </c>
      <c r="H151" s="6" t="s">
        <v>231</v>
      </c>
      <c r="I151" s="6" t="s">
        <v>160</v>
      </c>
      <c r="J151" s="6" t="s">
        <v>622</v>
      </c>
      <c r="K151" s="6" t="s">
        <v>21</v>
      </c>
      <c r="L151" s="25">
        <v>0</v>
      </c>
      <c r="M151" s="6"/>
      <c r="N151" s="26"/>
      <c r="O151" s="6" t="s">
        <v>155</v>
      </c>
      <c r="P151" s="6"/>
      <c r="Q151" s="6" t="s">
        <v>606</v>
      </c>
    </row>
    <row r="152" ht="14.4">
      <c r="A152" s="6" t="s">
        <v>628</v>
      </c>
      <c r="B152" s="25">
        <v>14</v>
      </c>
      <c r="C152" s="6" t="s">
        <v>603</v>
      </c>
      <c r="D152" s="6" t="s">
        <v>629</v>
      </c>
      <c r="E152" s="6" t="s">
        <v>630</v>
      </c>
      <c r="F152" s="6" t="s">
        <v>181</v>
      </c>
      <c r="G152" s="25">
        <v>4</v>
      </c>
      <c r="H152" s="6" t="s">
        <v>220</v>
      </c>
      <c r="I152" s="6" t="s">
        <v>160</v>
      </c>
      <c r="J152" s="6" t="s">
        <v>625</v>
      </c>
      <c r="K152" s="6" t="s">
        <v>21</v>
      </c>
      <c r="L152" s="25">
        <v>0</v>
      </c>
      <c r="M152" s="6"/>
      <c r="N152" s="26"/>
      <c r="O152" s="6" t="s">
        <v>155</v>
      </c>
      <c r="P152" s="6"/>
      <c r="Q152" s="6" t="s">
        <v>606</v>
      </c>
    </row>
    <row r="153" ht="14.4">
      <c r="A153" s="6" t="s">
        <v>631</v>
      </c>
      <c r="B153" s="25">
        <v>14</v>
      </c>
      <c r="C153" s="6" t="s">
        <v>603</v>
      </c>
      <c r="D153" s="6" t="s">
        <v>632</v>
      </c>
      <c r="E153" s="6" t="s">
        <v>633</v>
      </c>
      <c r="F153" s="6" t="s">
        <v>181</v>
      </c>
      <c r="G153" s="25">
        <v>4</v>
      </c>
      <c r="H153" s="6" t="s">
        <v>220</v>
      </c>
      <c r="I153" s="6" t="s">
        <v>154</v>
      </c>
      <c r="J153" s="6" t="s">
        <v>628</v>
      </c>
      <c r="K153" s="6" t="s">
        <v>21</v>
      </c>
      <c r="L153" s="25">
        <v>0</v>
      </c>
      <c r="M153" s="6"/>
      <c r="N153" s="26"/>
      <c r="O153" s="6" t="s">
        <v>155</v>
      </c>
      <c r="P153" s="6"/>
      <c r="Q153" s="6" t="s">
        <v>606</v>
      </c>
    </row>
    <row r="154" ht="14.4">
      <c r="A154" s="6" t="s">
        <v>634</v>
      </c>
      <c r="B154" s="25">
        <v>15</v>
      </c>
      <c r="C154" s="6" t="s">
        <v>635</v>
      </c>
      <c r="D154" s="6" t="s">
        <v>636</v>
      </c>
      <c r="E154" s="6" t="s">
        <v>637</v>
      </c>
      <c r="F154" s="6" t="s">
        <v>638</v>
      </c>
      <c r="G154" s="25">
        <v>6</v>
      </c>
      <c r="H154" s="6" t="s">
        <v>231</v>
      </c>
      <c r="I154" s="6" t="s">
        <v>639</v>
      </c>
      <c r="J154" s="6"/>
      <c r="K154" s="6" t="s">
        <v>21</v>
      </c>
      <c r="L154" s="25">
        <v>0</v>
      </c>
      <c r="M154" s="6"/>
      <c r="N154" s="26"/>
      <c r="O154" s="6" t="s">
        <v>155</v>
      </c>
      <c r="P154" s="6"/>
      <c r="Q154" s="6" t="s">
        <v>640</v>
      </c>
    </row>
    <row r="155" ht="14.4">
      <c r="A155" s="6" t="s">
        <v>641</v>
      </c>
      <c r="B155" s="25">
        <v>15</v>
      </c>
      <c r="C155" s="6" t="s">
        <v>635</v>
      </c>
      <c r="D155" s="6" t="s">
        <v>642</v>
      </c>
      <c r="E155" s="6" t="s">
        <v>643</v>
      </c>
      <c r="F155" s="6" t="s">
        <v>638</v>
      </c>
      <c r="G155" s="25">
        <v>6</v>
      </c>
      <c r="H155" s="6" t="s">
        <v>231</v>
      </c>
      <c r="I155" s="6" t="s">
        <v>639</v>
      </c>
      <c r="J155" s="6" t="s">
        <v>634</v>
      </c>
      <c r="K155" s="6" t="s">
        <v>21</v>
      </c>
      <c r="L155" s="25">
        <v>0</v>
      </c>
      <c r="M155" s="6"/>
      <c r="N155" s="26"/>
      <c r="O155" s="6" t="s">
        <v>155</v>
      </c>
      <c r="P155" s="6"/>
      <c r="Q155" s="6" t="s">
        <v>640</v>
      </c>
    </row>
    <row r="156" ht="14.4">
      <c r="A156" s="6" t="s">
        <v>644</v>
      </c>
      <c r="B156" s="25">
        <v>15</v>
      </c>
      <c r="C156" s="6" t="s">
        <v>635</v>
      </c>
      <c r="D156" s="6" t="s">
        <v>645</v>
      </c>
      <c r="E156" s="6" t="s">
        <v>646</v>
      </c>
      <c r="F156" s="6" t="s">
        <v>638</v>
      </c>
      <c r="G156" s="25">
        <v>6</v>
      </c>
      <c r="H156" s="6" t="s">
        <v>231</v>
      </c>
      <c r="I156" s="6" t="s">
        <v>639</v>
      </c>
      <c r="J156" s="6" t="s">
        <v>641</v>
      </c>
      <c r="K156" s="6" t="s">
        <v>21</v>
      </c>
      <c r="L156" s="25">
        <v>0</v>
      </c>
      <c r="M156" s="6"/>
      <c r="N156" s="26"/>
      <c r="O156" s="6" t="s">
        <v>155</v>
      </c>
      <c r="P156" s="6"/>
      <c r="Q156" s="6" t="s">
        <v>640</v>
      </c>
    </row>
    <row r="157" ht="14.4">
      <c r="A157" s="6" t="s">
        <v>647</v>
      </c>
      <c r="B157" s="25">
        <v>15</v>
      </c>
      <c r="C157" s="6" t="s">
        <v>635</v>
      </c>
      <c r="D157" s="6" t="s">
        <v>648</v>
      </c>
      <c r="E157" s="6" t="s">
        <v>649</v>
      </c>
      <c r="F157" s="6" t="s">
        <v>638</v>
      </c>
      <c r="G157" s="25">
        <v>6</v>
      </c>
      <c r="H157" s="6" t="s">
        <v>231</v>
      </c>
      <c r="I157" s="6" t="s">
        <v>639</v>
      </c>
      <c r="J157" s="6" t="s">
        <v>644</v>
      </c>
      <c r="K157" s="6" t="s">
        <v>21</v>
      </c>
      <c r="L157" s="25">
        <v>0</v>
      </c>
      <c r="M157" s="6"/>
      <c r="N157" s="26"/>
      <c r="O157" s="6" t="s">
        <v>155</v>
      </c>
      <c r="P157" s="6"/>
      <c r="Q157" s="6" t="s">
        <v>640</v>
      </c>
    </row>
    <row r="158" ht="14.4">
      <c r="A158" s="6" t="s">
        <v>650</v>
      </c>
      <c r="B158" s="25">
        <v>15</v>
      </c>
      <c r="C158" s="6" t="s">
        <v>635</v>
      </c>
      <c r="D158" s="6" t="s">
        <v>651</v>
      </c>
      <c r="E158" s="6" t="s">
        <v>652</v>
      </c>
      <c r="F158" s="6" t="s">
        <v>638</v>
      </c>
      <c r="G158" s="25">
        <v>6</v>
      </c>
      <c r="H158" s="6" t="s">
        <v>231</v>
      </c>
      <c r="I158" s="6" t="s">
        <v>639</v>
      </c>
      <c r="J158" s="6" t="s">
        <v>647</v>
      </c>
      <c r="K158" s="6" t="s">
        <v>21</v>
      </c>
      <c r="L158" s="25">
        <v>0</v>
      </c>
      <c r="M158" s="6"/>
      <c r="N158" s="26"/>
      <c r="O158" s="6" t="s">
        <v>155</v>
      </c>
      <c r="P158" s="6"/>
      <c r="Q158" s="6" t="s">
        <v>640</v>
      </c>
    </row>
    <row r="159" ht="14.4">
      <c r="A159" s="6" t="s">
        <v>653</v>
      </c>
      <c r="B159" s="25">
        <v>15</v>
      </c>
      <c r="C159" s="6" t="s">
        <v>635</v>
      </c>
      <c r="D159" s="6" t="s">
        <v>654</v>
      </c>
      <c r="E159" s="6" t="s">
        <v>655</v>
      </c>
      <c r="F159" s="6" t="s">
        <v>638</v>
      </c>
      <c r="G159" s="25">
        <v>6</v>
      </c>
      <c r="H159" s="6" t="s">
        <v>231</v>
      </c>
      <c r="I159" s="6" t="s">
        <v>639</v>
      </c>
      <c r="J159" s="6" t="s">
        <v>650</v>
      </c>
      <c r="K159" s="6" t="s">
        <v>21</v>
      </c>
      <c r="L159" s="25">
        <v>0</v>
      </c>
      <c r="M159" s="6"/>
      <c r="N159" s="26"/>
      <c r="O159" s="6" t="s">
        <v>155</v>
      </c>
      <c r="P159" s="6"/>
      <c r="Q159" s="6" t="s">
        <v>640</v>
      </c>
    </row>
    <row r="160" ht="14.4">
      <c r="A160" s="6" t="s">
        <v>656</v>
      </c>
      <c r="B160" s="25">
        <v>15</v>
      </c>
      <c r="C160" s="6" t="s">
        <v>635</v>
      </c>
      <c r="D160" s="6" t="s">
        <v>657</v>
      </c>
      <c r="E160" s="6" t="s">
        <v>658</v>
      </c>
      <c r="F160" s="6" t="s">
        <v>638</v>
      </c>
      <c r="G160" s="25">
        <v>6</v>
      </c>
      <c r="H160" s="6" t="s">
        <v>231</v>
      </c>
      <c r="I160" s="6" t="s">
        <v>639</v>
      </c>
      <c r="J160" s="6" t="s">
        <v>653</v>
      </c>
      <c r="K160" s="6" t="s">
        <v>21</v>
      </c>
      <c r="L160" s="25">
        <v>0</v>
      </c>
      <c r="M160" s="6"/>
      <c r="N160" s="26"/>
      <c r="O160" s="6" t="s">
        <v>155</v>
      </c>
      <c r="P160" s="6"/>
      <c r="Q160" s="6" t="s">
        <v>640</v>
      </c>
    </row>
    <row r="161" ht="14.4">
      <c r="A161" s="6" t="s">
        <v>659</v>
      </c>
      <c r="B161" s="25">
        <v>15</v>
      </c>
      <c r="C161" s="6" t="s">
        <v>635</v>
      </c>
      <c r="D161" s="6" t="s">
        <v>660</v>
      </c>
      <c r="E161" s="6" t="s">
        <v>661</v>
      </c>
      <c r="F161" s="6" t="s">
        <v>638</v>
      </c>
      <c r="G161" s="25">
        <v>6</v>
      </c>
      <c r="H161" s="6" t="s">
        <v>231</v>
      </c>
      <c r="I161" s="6" t="s">
        <v>639</v>
      </c>
      <c r="J161" s="6" t="s">
        <v>656</v>
      </c>
      <c r="K161" s="6" t="s">
        <v>21</v>
      </c>
      <c r="L161" s="25">
        <v>0</v>
      </c>
      <c r="M161" s="6"/>
      <c r="N161" s="26"/>
      <c r="O161" s="6" t="s">
        <v>155</v>
      </c>
      <c r="P161" s="6"/>
      <c r="Q161" s="6" t="s">
        <v>640</v>
      </c>
    </row>
    <row r="162" ht="14.4">
      <c r="A162" s="6" t="s">
        <v>662</v>
      </c>
      <c r="B162" s="25">
        <v>15</v>
      </c>
      <c r="C162" s="6" t="s">
        <v>635</v>
      </c>
      <c r="D162" s="6" t="s">
        <v>663</v>
      </c>
      <c r="E162" s="6" t="s">
        <v>664</v>
      </c>
      <c r="F162" s="6" t="s">
        <v>638</v>
      </c>
      <c r="G162" s="25">
        <v>6</v>
      </c>
      <c r="H162" s="6" t="s">
        <v>231</v>
      </c>
      <c r="I162" s="6" t="s">
        <v>639</v>
      </c>
      <c r="J162" s="6" t="s">
        <v>659</v>
      </c>
      <c r="K162" s="6" t="s">
        <v>21</v>
      </c>
      <c r="L162" s="25">
        <v>0</v>
      </c>
      <c r="M162" s="6"/>
      <c r="N162" s="26"/>
      <c r="O162" s="6" t="s">
        <v>155</v>
      </c>
      <c r="P162" s="6"/>
      <c r="Q162" s="6" t="s">
        <v>640</v>
      </c>
    </row>
    <row r="163" ht="14.4">
      <c r="A163" s="6" t="s">
        <v>665</v>
      </c>
      <c r="B163" s="25">
        <v>15</v>
      </c>
      <c r="C163" s="6" t="s">
        <v>635</v>
      </c>
      <c r="D163" s="6" t="s">
        <v>666</v>
      </c>
      <c r="E163" s="6" t="s">
        <v>667</v>
      </c>
      <c r="F163" s="6" t="s">
        <v>638</v>
      </c>
      <c r="G163" s="25">
        <v>6</v>
      </c>
      <c r="H163" s="6" t="s">
        <v>231</v>
      </c>
      <c r="I163" s="6" t="s">
        <v>639</v>
      </c>
      <c r="J163" s="6" t="s">
        <v>662</v>
      </c>
      <c r="K163" s="6" t="s">
        <v>21</v>
      </c>
      <c r="L163" s="25">
        <v>0</v>
      </c>
      <c r="M163" s="6"/>
      <c r="N163" s="26"/>
      <c r="O163" s="6" t="s">
        <v>155</v>
      </c>
      <c r="P163" s="6"/>
      <c r="Q163" s="6" t="s">
        <v>640</v>
      </c>
    </row>
    <row r="164" ht="14.4">
      <c r="A164" s="6" t="s">
        <v>668</v>
      </c>
      <c r="B164" s="25">
        <v>15</v>
      </c>
      <c r="C164" s="6" t="s">
        <v>635</v>
      </c>
      <c r="D164" s="6" t="s">
        <v>669</v>
      </c>
      <c r="E164" s="6" t="s">
        <v>670</v>
      </c>
      <c r="F164" s="6" t="s">
        <v>638</v>
      </c>
      <c r="G164" s="25">
        <v>6</v>
      </c>
      <c r="H164" s="6" t="s">
        <v>231</v>
      </c>
      <c r="I164" s="6" t="s">
        <v>639</v>
      </c>
      <c r="J164" s="6" t="s">
        <v>665</v>
      </c>
      <c r="K164" s="6" t="s">
        <v>21</v>
      </c>
      <c r="L164" s="25">
        <v>0</v>
      </c>
      <c r="M164" s="6"/>
      <c r="N164" s="26"/>
      <c r="O164" s="6" t="s">
        <v>155</v>
      </c>
      <c r="P164" s="6"/>
      <c r="Q164" s="6" t="s">
        <v>640</v>
      </c>
    </row>
    <row r="165" ht="14.4">
      <c r="A165" s="7" t="s">
        <v>671</v>
      </c>
      <c r="B165" s="27">
        <v>15</v>
      </c>
      <c r="C165" s="7" t="s">
        <v>635</v>
      </c>
      <c r="D165" s="7" t="s">
        <v>672</v>
      </c>
      <c r="E165" s="7" t="s">
        <v>673</v>
      </c>
      <c r="F165" s="7" t="s">
        <v>638</v>
      </c>
      <c r="G165" s="27">
        <v>6</v>
      </c>
      <c r="H165" s="7" t="s">
        <v>231</v>
      </c>
      <c r="I165" s="7" t="s">
        <v>639</v>
      </c>
      <c r="J165" s="7" t="s">
        <v>668</v>
      </c>
      <c r="K165" s="7" t="s">
        <v>21</v>
      </c>
      <c r="L165" s="27">
        <v>0</v>
      </c>
      <c r="M165" s="7"/>
      <c r="N165" s="28"/>
      <c r="O165" s="7" t="s">
        <v>155</v>
      </c>
      <c r="P165" s="7"/>
      <c r="Q165" s="7" t="s">
        <v>640</v>
      </c>
    </row>
  </sheetData>
  <mergeCells count="2">
    <mergeCell ref="A1:Q1"/>
    <mergeCell ref="A2:H2"/>
  </mergeCells>
  <printOptions headings="0" gridLines="0"/>
  <pageMargins left="0.69999999999999996" right="0.69999999999999996" top="0.75" bottom="0.75" header="0.29999999999999999" footer="0.29999999999999999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Mastered" id="{63AE1EE6-9E92-49CA-81BD-69B0E33925D6}">
            <x14:dxf>
              <font>
                <b/>
                <color rgb="FF176B3A"/>
              </font>
              <fill>
                <patternFill patternType="solid">
                  <fgColor rgb="FFD9F2E6"/>
                  <bgColor rgb="FFD9F2E6"/>
                </patternFill>
              </fill>
            </x14:dxf>
          </x14:cfRule>
          <xm:sqref>K5:K165</xm:sqref>
        </x14:conditionalFormatting>
        <x14:conditionalFormatting xmlns:xm="http://schemas.microsoft.com/office/excel/2006/main">
          <x14:cfRule type="containsText" priority="2" operator="containsText" text="In Progress" id="{E54733D0-EC6D-47BF-99EA-E82F0B488929}">
            <x14:dxf>
              <font>
                <b/>
                <color rgb="FF8A5A00"/>
              </font>
              <fill>
                <patternFill patternType="solid">
                  <fgColor rgb="FFFFF0CC"/>
                  <bgColor rgb="FFFFF0CC"/>
                </patternFill>
              </fill>
            </x14:dxf>
          </x14:cfRule>
          <xm:sqref>K5:K165</xm:sqref>
        </x14:conditionalFormatting>
        <x14:conditionalFormatting xmlns:xm="http://schemas.microsoft.com/office/excel/2006/main">
          <x14:cfRule type="containsText" priority="3" operator="containsText" text="Blocked" id="{94CB16E4-757A-4A9A-8FC9-FFEA8AC8C956}">
            <x14:dxf>
              <font>
                <b/>
                <color rgb="FFA12A2A"/>
              </font>
              <fill>
                <patternFill patternType="solid">
                  <fgColor rgb="FFFDE2E2"/>
                  <bgColor rgb="FFFDE2E2"/>
                </patternFill>
              </fill>
            </x14:dxf>
          </x14:cfRule>
          <xm:sqref>K5:K165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4A10035F-E12E-4DC5-B508-782B43215E64}" type="list" allowBlank="0" errorStyle="stop" imeMode="noControl" operator="between" showDropDown="0" showErrorMessage="0" showInputMessage="0">
          <x14:formula1>
            <xm:f>"Not Started,In Progress,Blocked,Review,Mastered,Revisit"</xm:f>
          </x14:formula1>
          <xm:sqref>K5:K165</xm:sqref>
        </x14:dataValidation>
        <x14:dataValidation xr:uid="{E93FC966-FB9A-480F-A348-84FEED545C74}" type="whole" allowBlank="0" errorStyle="stop" imeMode="noControl" operator="between" showDropDown="0" showErrorMessage="0" showInputMessage="0">
          <x14:formula1>
            <xm:f>0</xm:f>
          </x14:formula1>
          <x14:formula2>
            <xm:f>5</xm:f>
          </x14:formula2>
          <xm:sqref>L5:L165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12"/>
    <col customWidth="1" min="2" max="2" width="24"/>
    <col customWidth="1" min="3" max="3" width="20"/>
    <col customWidth="1" min="4" max="4" width="52"/>
    <col customWidth="1" min="5" max="5" width="10"/>
    <col customWidth="1" min="6" max="6" width="14"/>
    <col customWidth="1" min="7" max="7" width="44"/>
    <col customWidth="1" min="8" max="8" width="15"/>
    <col customWidth="1" min="9" max="9" width="12"/>
    <col customWidth="1" min="10" max="10" width="38"/>
  </cols>
  <sheetData>
    <row r="1" ht="34" customHeight="1">
      <c r="A1" s="1" t="s">
        <v>674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>
      <c r="A2" s="2" t="s">
        <v>675</v>
      </c>
      <c r="B2" s="2" t="s">
        <v>675</v>
      </c>
      <c r="C2" s="2" t="s">
        <v>675</v>
      </c>
      <c r="D2" s="2" t="s">
        <v>675</v>
      </c>
      <c r="E2" s="2" t="s">
        <v>675</v>
      </c>
      <c r="F2" s="2" t="s">
        <v>675</v>
      </c>
      <c r="G2" s="2" t="s">
        <v>675</v>
      </c>
      <c r="H2" s="2" t="s">
        <v>675</v>
      </c>
      <c r="I2" s="3"/>
      <c r="J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 ht="30" customHeight="1">
      <c r="A4" s="8" t="s">
        <v>676</v>
      </c>
      <c r="B4" s="9" t="s">
        <v>677</v>
      </c>
      <c r="C4" s="9" t="s">
        <v>678</v>
      </c>
      <c r="D4" s="9" t="s">
        <v>679</v>
      </c>
      <c r="E4" s="9" t="s">
        <v>680</v>
      </c>
      <c r="F4" s="9" t="s">
        <v>681</v>
      </c>
      <c r="G4" s="9" t="s">
        <v>145</v>
      </c>
      <c r="H4" s="9" t="s">
        <v>17</v>
      </c>
      <c r="I4" s="9" t="s">
        <v>19</v>
      </c>
      <c r="J4" s="10" t="s">
        <v>682</v>
      </c>
    </row>
    <row r="5" ht="72" customHeight="1">
      <c r="A5" s="5" t="s">
        <v>683</v>
      </c>
      <c r="B5" s="5" t="s">
        <v>684</v>
      </c>
      <c r="C5" s="5" t="s">
        <v>685</v>
      </c>
      <c r="D5" s="5" t="s">
        <v>686</v>
      </c>
      <c r="E5" s="5" t="s">
        <v>13</v>
      </c>
      <c r="F5" s="5" t="s">
        <v>687</v>
      </c>
      <c r="G5" s="5" t="s">
        <v>688</v>
      </c>
      <c r="H5" s="5" t="s">
        <v>21</v>
      </c>
      <c r="I5" s="5">
        <v>0</v>
      </c>
      <c r="J5" s="5"/>
    </row>
    <row r="6" ht="108" customHeight="1">
      <c r="A6" s="6" t="s">
        <v>689</v>
      </c>
      <c r="B6" s="6" t="s">
        <v>690</v>
      </c>
      <c r="C6" s="6" t="s">
        <v>691</v>
      </c>
      <c r="D6" s="6" t="s">
        <v>692</v>
      </c>
      <c r="E6" s="6" t="s">
        <v>693</v>
      </c>
      <c r="F6" s="6" t="s">
        <v>687</v>
      </c>
      <c r="G6" s="6" t="s">
        <v>694</v>
      </c>
      <c r="H6" s="6" t="s">
        <v>21</v>
      </c>
      <c r="I6" s="6">
        <v>0</v>
      </c>
      <c r="J6" s="6"/>
    </row>
    <row r="7" ht="84" customHeight="1">
      <c r="A7" s="6" t="s">
        <v>695</v>
      </c>
      <c r="B7" s="6" t="s">
        <v>696</v>
      </c>
      <c r="C7" s="6" t="s">
        <v>697</v>
      </c>
      <c r="D7" s="6" t="s">
        <v>698</v>
      </c>
      <c r="E7" s="6" t="s">
        <v>693</v>
      </c>
      <c r="F7" s="6" t="s">
        <v>699</v>
      </c>
      <c r="G7" s="6" t="s">
        <v>700</v>
      </c>
      <c r="H7" s="6" t="s">
        <v>21</v>
      </c>
      <c r="I7" s="6">
        <v>0</v>
      </c>
      <c r="J7" s="6"/>
    </row>
    <row r="8" ht="108" customHeight="1">
      <c r="A8" s="6" t="s">
        <v>701</v>
      </c>
      <c r="B8" s="6" t="s">
        <v>702</v>
      </c>
      <c r="C8" s="6" t="s">
        <v>703</v>
      </c>
      <c r="D8" s="6" t="s">
        <v>704</v>
      </c>
      <c r="E8" s="6" t="s">
        <v>693</v>
      </c>
      <c r="F8" s="6" t="s">
        <v>699</v>
      </c>
      <c r="G8" s="6" t="s">
        <v>705</v>
      </c>
      <c r="H8" s="6" t="s">
        <v>21</v>
      </c>
      <c r="I8" s="6">
        <v>0</v>
      </c>
      <c r="J8" s="6"/>
    </row>
    <row r="9" ht="72" customHeight="1">
      <c r="A9" s="6" t="s">
        <v>706</v>
      </c>
      <c r="B9" s="6" t="s">
        <v>707</v>
      </c>
      <c r="C9" s="6" t="s">
        <v>708</v>
      </c>
      <c r="D9" s="6" t="s">
        <v>709</v>
      </c>
      <c r="E9" s="6" t="s">
        <v>13</v>
      </c>
      <c r="F9" s="6" t="s">
        <v>710</v>
      </c>
      <c r="G9" s="6" t="s">
        <v>711</v>
      </c>
      <c r="H9" s="6" t="s">
        <v>21</v>
      </c>
      <c r="I9" s="6">
        <v>0</v>
      </c>
      <c r="J9" s="6"/>
    </row>
    <row r="10" ht="84" customHeight="1">
      <c r="A10" s="6" t="s">
        <v>712</v>
      </c>
      <c r="B10" s="6" t="s">
        <v>713</v>
      </c>
      <c r="C10" s="6" t="s">
        <v>714</v>
      </c>
      <c r="D10" s="6" t="s">
        <v>715</v>
      </c>
      <c r="E10" s="6" t="s">
        <v>693</v>
      </c>
      <c r="F10" s="6" t="s">
        <v>699</v>
      </c>
      <c r="G10" s="6" t="s">
        <v>716</v>
      </c>
      <c r="H10" s="6" t="s">
        <v>21</v>
      </c>
      <c r="I10" s="6">
        <v>0</v>
      </c>
      <c r="J10" s="6"/>
    </row>
    <row r="11" ht="96" customHeight="1">
      <c r="A11" s="6" t="s">
        <v>717</v>
      </c>
      <c r="B11" s="6" t="s">
        <v>718</v>
      </c>
      <c r="C11" s="6" t="s">
        <v>719</v>
      </c>
      <c r="D11" s="6" t="s">
        <v>720</v>
      </c>
      <c r="E11" s="6" t="s">
        <v>721</v>
      </c>
      <c r="F11" s="6" t="s">
        <v>722</v>
      </c>
      <c r="G11" s="6" t="s">
        <v>723</v>
      </c>
      <c r="H11" s="6" t="s">
        <v>21</v>
      </c>
      <c r="I11" s="6">
        <v>0</v>
      </c>
      <c r="J11" s="6"/>
    </row>
    <row r="12" ht="84" customHeight="1">
      <c r="A12" s="7" t="s">
        <v>724</v>
      </c>
      <c r="B12" s="7" t="s">
        <v>725</v>
      </c>
      <c r="C12" s="7" t="s">
        <v>719</v>
      </c>
      <c r="D12" s="7" t="s">
        <v>726</v>
      </c>
      <c r="E12" s="7" t="s">
        <v>727</v>
      </c>
      <c r="F12" s="7" t="s">
        <v>722</v>
      </c>
      <c r="G12" s="7" t="s">
        <v>728</v>
      </c>
      <c r="H12" s="7" t="s">
        <v>21</v>
      </c>
      <c r="I12" s="7">
        <v>0</v>
      </c>
      <c r="J12" s="7"/>
    </row>
  </sheetData>
  <mergeCells count="2">
    <mergeCell ref="A1:J1"/>
    <mergeCell ref="A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4B4F4542-1CFB-48F5-8246-EF585B718764}" type="list" allowBlank="0" errorStyle="stop" imeMode="noControl" operator="between" showDropDown="0" showErrorMessage="0" showInputMessage="0">
          <x14:formula1>
            <xm:f>"Not Started,In Progress,Blocked,Review,Mastered,Revisit"</xm:f>
          </x14:formula1>
          <xm:sqref>H5:H12</xm:sqref>
        </x14:dataValidation>
        <x14:dataValidation xr:uid="{E23E43F4-6407-4871-8453-A00825C40133}" type="whole" allowBlank="0" errorStyle="stop" imeMode="noControl" operator="between" showDropDown="0" showErrorMessage="0" showInputMessage="0">
          <x14:formula1>
            <xm:f>0</xm:f>
          </x14:formula1>
          <x14:formula2>
            <xm:f>5</xm:f>
          </x14:formula2>
          <xm:sqref>I5:I12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38"/>
    <col customWidth="1" min="2" max="2" width="72"/>
    <col customWidth="1" min="3" max="3" width="28"/>
    <col customWidth="1" min="4" max="4" width="52"/>
  </cols>
  <sheetData>
    <row r="1" ht="34" customHeight="1">
      <c r="A1" s="1" t="s">
        <v>729</v>
      </c>
      <c r="B1" s="1"/>
      <c r="C1" s="1"/>
      <c r="D1" s="1"/>
      <c r="E1" s="3"/>
      <c r="F1" s="3"/>
      <c r="G1" s="3"/>
      <c r="H1" s="3"/>
    </row>
    <row r="2" ht="30" customHeight="1">
      <c r="A2" s="2" t="s">
        <v>730</v>
      </c>
      <c r="B2" s="2" t="s">
        <v>730</v>
      </c>
      <c r="C2" s="2" t="s">
        <v>730</v>
      </c>
      <c r="D2" s="2" t="s">
        <v>730</v>
      </c>
      <c r="E2" s="2" t="s">
        <v>730</v>
      </c>
      <c r="F2" s="2" t="s">
        <v>730</v>
      </c>
      <c r="G2" s="2" t="s">
        <v>730</v>
      </c>
      <c r="H2" s="2" t="s">
        <v>730</v>
      </c>
    </row>
    <row r="3">
      <c r="A3" s="3"/>
      <c r="B3" s="3"/>
      <c r="C3" s="3"/>
      <c r="D3" s="3"/>
      <c r="E3" s="3"/>
      <c r="F3" s="3"/>
      <c r="G3" s="3"/>
      <c r="H3" s="3"/>
    </row>
    <row r="4" ht="30" customHeight="1">
      <c r="A4" s="8" t="s">
        <v>731</v>
      </c>
      <c r="B4" s="9" t="s">
        <v>732</v>
      </c>
      <c r="C4" s="9" t="s">
        <v>733</v>
      </c>
      <c r="D4" s="10" t="s">
        <v>734</v>
      </c>
      <c r="E4" s="3"/>
      <c r="F4" s="3"/>
      <c r="G4" s="3"/>
      <c r="H4" s="3"/>
    </row>
    <row r="5" ht="24" customHeight="1">
      <c r="A5" s="5" t="s">
        <v>735</v>
      </c>
      <c r="B5" s="5" t="s">
        <v>736</v>
      </c>
      <c r="C5" s="5" t="s">
        <v>737</v>
      </c>
      <c r="D5" s="5" t="s">
        <v>738</v>
      </c>
      <c r="E5" s="3"/>
      <c r="F5" s="3"/>
      <c r="G5" s="3"/>
      <c r="H5" s="3"/>
    </row>
    <row r="6" ht="24" customHeight="1">
      <c r="A6" s="6" t="s">
        <v>739</v>
      </c>
      <c r="B6" s="6" t="s">
        <v>740</v>
      </c>
      <c r="C6" s="6" t="s">
        <v>741</v>
      </c>
      <c r="D6" s="6" t="s">
        <v>742</v>
      </c>
      <c r="E6" s="3"/>
      <c r="F6" s="3"/>
      <c r="G6" s="3"/>
      <c r="H6" s="3"/>
    </row>
    <row r="7" ht="15" customHeight="1">
      <c r="A7" s="6" t="s">
        <v>743</v>
      </c>
      <c r="B7" s="6" t="s">
        <v>744</v>
      </c>
      <c r="C7" s="6" t="s">
        <v>745</v>
      </c>
      <c r="D7" s="6" t="s">
        <v>746</v>
      </c>
      <c r="E7" s="3"/>
      <c r="F7" s="3"/>
      <c r="G7" s="3"/>
      <c r="H7" s="3"/>
    </row>
    <row r="8" ht="24" customHeight="1">
      <c r="A8" s="7" t="s">
        <v>747</v>
      </c>
      <c r="B8" s="7" t="s">
        <v>748</v>
      </c>
      <c r="C8" s="7" t="s">
        <v>749</v>
      </c>
      <c r="D8" s="7" t="s">
        <v>750</v>
      </c>
      <c r="E8" s="3"/>
      <c r="F8" s="3"/>
      <c r="G8" s="3"/>
      <c r="H8" s="3"/>
    </row>
  </sheetData>
  <mergeCells count="2">
    <mergeCell ref="A1:D1"/>
    <mergeCell ref="A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