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9bbd45f1d04b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b8e547737d5d43e4"/>
    <x:sheet xmlns:r="http://schemas.openxmlformats.org/officeDocument/2006/relationships" name="Dashboard" sheetId="2" r:id="R94e833f316844d13"/>
    <x:sheet xmlns:r="http://schemas.openxmlformats.org/officeDocument/2006/relationships" name="Roadmap" sheetId="3" r:id="R3cde4252181849a8"/>
    <x:sheet xmlns:r="http://schemas.openxmlformats.org/officeDocument/2006/relationships" name="Lab Checklist" sheetId="4" r:id="R687b878ea2c54632"/>
    <x:sheet xmlns:r="http://schemas.openxmlformats.org/officeDocument/2006/relationships" name="Capstones" sheetId="5" r:id="R3e16e76378e74d87"/>
    <x:sheet xmlns:r="http://schemas.openxmlformats.org/officeDocument/2006/relationships" name="Sources" sheetId="6" r:id="R719f75d452df40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7">
    <x:font>
      <x:sz val="11"/>
      <x:name val="Carlito"/>
    </x:font>
    <x:font>
      <x:b/>
      <x:sz val="20"/>
      <x:color rgb="FFFFFFFF"/>
      <x:name val="Carlito"/>
    </x:font>
    <x:font>
      <x:i/>
      <x:sz val="10"/>
      <x:color rgb="FF0B1F3A"/>
      <x:name val="Carlito"/>
    </x:font>
    <x:font>
      <x:b/>
      <x:sz val="11"/>
      <x:color rgb="FFFFFFFF"/>
      <x:name val="Carlito"/>
    </x:font>
    <x:font>
      <x:sz val="10"/>
      <x:color rgb="FF172033"/>
      <x:name val="Carlito"/>
    </x:font>
    <x:font>
      <x:b/>
      <x:sz val="10"/>
      <x:color rgb="FF0B1F3A"/>
      <x:name val="Carlito"/>
    </x:font>
    <x:font>
      <x:b/>
      <x:sz val="12"/>
      <x:color rgb="FF0B1F3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DFF3FF"/>
      </x:patternFill>
    </x:fill>
    <x:fill>
      <x:patternFill patternType="solid">
        <x:fgColor rgb="FF1464F4"/>
      </x:patternFill>
    </x:fill>
    <x:fill>
      <x:patternFill patternType="solid">
        <x:fgColor rgb="FFF4F7FB"/>
      </x:patternFill>
    </x:fill>
  </x:fills>
  <x:borders count="13">
    <x:border/>
    <x:border>
      <x:bottom style="thin">
        <x:color rgb="FFE7ECF3"/>
      </x:bottom>
    </x:border>
    <x:border>
      <x:top style="thin">
        <x:color rgb="FFE7ECF3"/>
      </x:top>
      <x:bottom style="thin">
        <x:color rgb="FFE7ECF3"/>
      </x:bottom>
    </x:border>
    <x:border>
      <x:top style="thin">
        <x:color rgb="FFE7ECF3"/>
      </x:top>
    </x:border>
    <x:border>
      <x:left style="thin">
        <x:color rgb="FFD4DCE8"/>
      </x:left>
      <x:top style="thin">
        <x:color rgb="FFD4DCE8"/>
      </x:top>
      <x:bottom style="thin">
        <x:color rgb="FFD4DCE8"/>
      </x:bottom>
    </x:border>
    <x:border>
      <x:top style="thin">
        <x:color rgb="FFD4DCE8"/>
      </x:top>
      <x:bottom style="thin">
        <x:color rgb="FFD4DCE8"/>
      </x:bottom>
    </x:border>
    <x:border>
      <x:right style="thin">
        <x:color rgb="FFD4DCE8"/>
      </x:right>
      <x:top style="thin">
        <x:color rgb="FFD4DCE8"/>
      </x:top>
      <x:bottom style="thin">
        <x:color rgb="FFD4DCE8"/>
      </x:bottom>
    </x:border>
    <x:border>
      <x:left style="thin">
        <x:color rgb="FFD4DCE8"/>
      </x:left>
      <x:top style="thin">
        <x:color rgb="FFD4DCE8"/>
      </x:top>
    </x:border>
    <x:border>
      <x:right style="thin">
        <x:color rgb="FFD4DCE8"/>
      </x:right>
      <x:top style="thin">
        <x:color rgb="FFD4DCE8"/>
      </x:top>
    </x:border>
    <x:border>
      <x:left style="thin">
        <x:color rgb="FFD4DCE8"/>
      </x:left>
    </x:border>
    <x:border>
      <x:right style="thin">
        <x:color rgb="FFD4DCE8"/>
      </x:right>
    </x:border>
    <x:border>
      <x:left style="thin">
        <x:color rgb="FFD4DCE8"/>
      </x:left>
      <x:bottom style="thin">
        <x:color rgb="FFD4DCE8"/>
      </x:bottom>
    </x:border>
    <x:border>
      <x:right style="thin">
        <x:color rgb="FFD4DCE8"/>
      </x:right>
      <x:bottom style="thin">
        <x:color rgb="FFD4DCE8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6" fillId="5" borderId="0" xfId="0" applyNumberFormat="1" applyFont="1" applyFill="1" applyBorder="1"/>
    <x:xf numFmtId="201" fontId="6" fillId="5" borderId="0" xfId="0" applyNumberFormat="1" applyFont="1" applyFill="1" applyBorder="1"/>
    <x:xf numFmtId="0" fontId="6" fillId="5" borderId="7" xfId="0" applyNumberFormat="1" applyFont="1" applyFill="1" applyBorder="1"/>
    <x:xf numFmtId="0" fontId="6" fillId="5" borderId="8" xfId="0" applyNumberFormat="1" applyFont="1" applyFill="1" applyBorder="1"/>
    <x:xf numFmtId="0" fontId="6" fillId="5" borderId="9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201" fontId="6" fillId="5" borderId="12" xfId="0" applyNumberFormat="1" applyFont="1" applyFill="1" applyBorder="1"/>
    <x:xf numFmtId="201" fontId="4" fillId="0" borderId="0" xfId="0" applyNumberFormat="1" applyFont="1" applyFill="1" applyBorder="1"/>
    <x:xf numFmtId="201" fontId="4" fillId="0" borderId="1" xfId="0" applyNumberFormat="1" applyFont="1" applyFill="1" applyBorder="1"/>
    <x:xf numFmtId="201" fontId="4" fillId="0" borderId="2" xfId="0" applyNumberFormat="1" applyFont="1" applyFill="1" applyBorder="1"/>
    <x:xf numFmtId="201" fontId="4" fillId="0" borderId="3" xfId="0" applyNumberFormat="1" applyFont="1" applyFill="1" applyBorder="1"/>
    <x:xf numFmtId="201" fontId="4" fillId="0" borderId="1" xfId="0" applyNumberFormat="1" applyFont="1" applyFill="1" applyBorder="1" applyAlignment="1">
      <x:alignment wrapText="1"/>
    </x:xf>
    <x:xf numFmtId="201" fontId="4" fillId="0" borderId="2" xfId="0" applyNumberFormat="1" applyFont="1" applyFill="1" applyBorder="1" applyAlignment="1">
      <x:alignment wrapText="1"/>
    </x:xf>
    <x:xf numFmtId="201" fontId="4" fillId="0" borderId="3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top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6" fillId="5" borderId="7" xfId="0" applyNumberFormat="1" applyFont="1" applyFill="1" applyBorder="1" applyAlignment="1">
      <x:alignment vertical="top"/>
    </x:xf>
    <x:xf numFmtId="0" fontId="6" fillId="5" borderId="8" xfId="0" applyNumberFormat="1" applyFont="1" applyFill="1" applyBorder="1" applyAlignment="1">
      <x:alignment vertical="top"/>
    </x:xf>
    <x:xf numFmtId="0" fontId="6" fillId="5" borderId="9" xfId="0" applyNumberFormat="1" applyFont="1" applyFill="1" applyBorder="1" applyAlignment="1">
      <x:alignment vertical="top"/>
    </x:xf>
    <x:xf numFmtId="0" fontId="6" fillId="5" borderId="10" xfId="0" applyNumberFormat="1" applyFont="1" applyFill="1" applyBorder="1" applyAlignment="1">
      <x:alignment vertical="top"/>
    </x:xf>
    <x:xf numFmtId="0" fontId="6" fillId="5" borderId="11" xfId="0" applyNumberFormat="1" applyFont="1" applyFill="1" applyBorder="1" applyAlignment="1">
      <x:alignment vertical="top"/>
    </x:xf>
    <x:xf numFmtId="201" fontId="6" fillId="5" borderId="12" xfId="0" applyNumberFormat="1" applyFont="1" applyFill="1" applyBorder="1" applyAlignment="1">
      <x:alignment vertical="top"/>
    </x:xf>
  </x:cellXfs>
  <x:cellStyles count="1">
    <x:cellStyle name="Normal" xfId="0"/>
  </x:cellStyles>
  <x:dxfs count="3">
    <x:dxf>
      <x:font>
        <x:b/>
        <x:color rgb="FF176B3A"/>
      </x:font>
      <x:fill>
        <x:patternFill patternType="solid">
          <x:bgColor rgb="FFD9F2E6"/>
        </x:patternFill>
      </x:fill>
    </x:dxf>
    <x:dxf>
      <x:font>
        <x:b/>
        <x:color rgb="FF8A5A00"/>
      </x:font>
      <x:fill>
        <x:patternFill patternType="solid">
          <x:bgColor rgb="FFFFF0CC"/>
        </x:patternFill>
      </x:fill>
    </x:dxf>
    <x:dxf>
      <x:font>
        <x:b/>
        <x:color rgb="FFA12A2A"/>
      </x:font>
      <x:fill>
        <x:patternFill patternType="solid"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4fd425dc6d45f1" /><Relationship Type="http://schemas.openxmlformats.org/officeDocument/2006/relationships/theme" Target="/xl/theme/theme1.xml" Id="R40dca7df5b6d4946" /><Relationship Type="http://schemas.openxmlformats.org/officeDocument/2006/relationships/sharedStrings" Target="/xl/sharedStrings.xml" Id="R124e5e2c97b04898" /><Relationship Type="http://schemas.openxmlformats.org/officeDocument/2006/relationships/worksheet" Target="/xl/worksheets/sheet1.xml" Id="Rb8e547737d5d43e4" /><Relationship Type="http://schemas.openxmlformats.org/officeDocument/2006/relationships/worksheet" Target="/xl/worksheets/sheet2.xml" Id="R94e833f316844d13" /><Relationship Type="http://schemas.openxmlformats.org/officeDocument/2006/relationships/worksheet" Target="/xl/worksheets/sheet3.xml" Id="R3cde4252181849a8" /><Relationship Type="http://schemas.openxmlformats.org/officeDocument/2006/relationships/worksheet" Target="/xl/worksheets/sheet4.xml" Id="R687b878ea2c54632" /><Relationship Type="http://schemas.openxmlformats.org/officeDocument/2006/relationships/worksheet" Target="/xl/worksheets/sheet5.xml" Id="R3e16e76378e74d87" /><Relationship Type="http://schemas.openxmlformats.org/officeDocument/2006/relationships/worksheet" Target="/xl/worksheets/sheet6.xml" Id="R719f75d452df40a3" /></Relationships>
</file>

<file path=xl/tables/table1.xml><?xml version="1.0" encoding="utf-8"?>
<x:table xmlns:x="http://schemas.openxmlformats.org/spreadsheetml/2006/main" id="1" name="CCIESPLabs" displayName="CCIESPLabs" ref="A4:Q165" headerRowCount="1" totalsRowCount="0" totalsRowShown="0">
  <x:tableColumns count="17">
    <x:tableColumn id="1" name="Lab ID"/>
    <x:tableColumn id="2" name="Phase #"/>
    <x:tableColumn id="3" name="Phase / Domain"/>
    <x:tableColumn id="4" name="Lab / Scenario"/>
    <x:tableColumn id="5" name="Mastery Outcome"/>
    <x:tableColumn id="6" name="Suggested Topology"/>
    <x:tableColumn id="7" name="Est. Hours"/>
    <x:tableColumn id="8" name="Difficulty"/>
    <x:tableColumn id="9" name="Priority"/>
    <x:tableColumn id="10" name="Dependency"/>
    <x:tableColumn id="11" name="Status"/>
    <x:tableColumn id="12" name="Confidence (0–5)"/>
    <x:tableColumn id="13" name="Evidence Link/Folder"/>
    <x:tableColumn id="14" name="Completed Date"/>
    <x:tableColumn id="15" name="Required Evidence"/>
    <x:tableColumn id="16" name="Notes/Gap"/>
    <x:tableColumn id="17" name="Tra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02cdb80329a741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56" t="str">
        <x:v>CCIE-SP Cisco SP Engineer Lab Roadmap</x:v>
      </x:c>
      <x:c r="B1" s="56"/>
      <x:c r="C1" s="56"/>
      <x:c r="D1" s="56"/>
      <x:c r="E1" s="56"/>
      <x:c r="F1" s="56"/>
      <x:c r="G1" s="56"/>
      <x:c r="H1" s="56"/>
    </x:row>
    <x:row r="2" ht="30" customHeight="1">
      <x:c r="A2" s="57" t="str">
        <x:v>Technology-first roadmap for a CCIE R&amp;S holder: exam readiness + production engineering mastery</x:v>
      </x:c>
      <x:c r="B2" s="57" t="str">
        <x:v>Technology-first roadmap for a CCIE R&amp;S holder: exam readiness + production engineering mastery</x:v>
      </x:c>
      <x:c r="C2" s="57" t="str">
        <x:v>Technology-first roadmap for a CCIE R&amp;S holder: exam readiness + production engineering mastery</x:v>
      </x:c>
      <x:c r="D2" s="57" t="str">
        <x:v>Technology-first roadmap for a CCIE R&amp;S holder: exam readiness + production engineering mastery</x:v>
      </x:c>
      <x:c r="E2" s="57" t="str">
        <x:v>Technology-first roadmap for a CCIE R&amp;S holder: exam readiness + production engineering mastery</x:v>
      </x:c>
      <x:c r="F2" s="57" t="str">
        <x:v>Technology-first roadmap for a CCIE R&amp;S holder: exam readiness + production engineering mastery</x:v>
      </x:c>
      <x:c r="G2" s="57" t="str">
        <x:v>Technology-first roadmap for a CCIE R&amp;S holder: exam readiness + production engineering mastery</x:v>
      </x:c>
      <x:c r="H2" s="57" t="str">
        <x:v>Technology-first roadmap for a CCIE R&amp;S holder: exam readiness + production engineering mastery</x:v>
      </x:c>
    </x:row>
    <x:row r="3">
      <x:c r="A3" s="58"/>
      <x:c r="B3" s="58"/>
      <x:c r="C3" s="58"/>
      <x:c r="D3" s="58"/>
      <x:c r="E3" s="58"/>
      <x:c r="F3" s="58"/>
      <x:c r="G3" s="58"/>
      <x:c r="H3" s="58"/>
    </x:row>
    <x:row r="4">
      <x:c r="A4" s="59" t="str">
        <x:v>How to use this workbook</x:v>
      </x:c>
      <x:c r="B4" s="59" t="str"/>
      <x:c r="C4" s="58"/>
      <x:c r="D4" s="58"/>
      <x:c r="E4" s="58"/>
      <x:c r="F4" s="58"/>
      <x:c r="G4" s="58"/>
      <x:c r="H4" s="58"/>
    </x:row>
    <x:row r="5">
      <x:c r="A5" s="15" t="str">
        <x:v>1</x:v>
      </x:c>
      <x:c r="B5" s="15" t="str">
        <x:v>Work phase-by-phase, but revisit earlier technologies inside integrated labs.</x:v>
      </x:c>
      <x:c r="C5" s="58"/>
      <x:c r="D5" s="58"/>
      <x:c r="E5" s="58"/>
      <x:c r="F5" s="58"/>
      <x:c r="G5" s="58"/>
      <x:c r="H5" s="58"/>
    </x:row>
    <x:row r="6">
      <x:c r="A6" s="16" t="str">
        <x:v>2</x:v>
      </x:c>
      <x:c r="B6" s="16" t="str">
        <x:v>Start each lab from a blank or minimal baseline; do not paste a finished solution.</x:v>
      </x:c>
      <x:c r="C6" s="58"/>
      <x:c r="D6" s="58"/>
      <x:c r="E6" s="58"/>
      <x:c r="F6" s="58"/>
      <x:c r="G6" s="58"/>
      <x:c r="H6" s="58"/>
    </x:row>
    <x:row r="7">
      <x:c r="A7" s="16" t="str">
        <x:v>3</x:v>
      </x:c>
      <x:c r="B7" s="16" t="str">
        <x:v>Prove both control plane and forwarding/data plane with saved evidence.</x:v>
      </x:c>
      <x:c r="C7" s="58"/>
      <x:c r="D7" s="58"/>
      <x:c r="E7" s="58"/>
      <x:c r="F7" s="58"/>
      <x:c r="G7" s="58"/>
      <x:c r="H7" s="58"/>
    </x:row>
    <x:row r="8">
      <x:c r="A8" s="16" t="str">
        <x:v>4</x:v>
      </x:c>
      <x:c r="B8" s="16" t="str">
        <x:v>Inject at least one fault for every lab marked Priority = Core or Critical.</x:v>
      </x:c>
      <x:c r="C8" s="58"/>
      <x:c r="D8" s="58"/>
      <x:c r="E8" s="58"/>
      <x:c r="F8" s="58"/>
      <x:c r="G8" s="58"/>
      <x:c r="H8" s="58"/>
    </x:row>
    <x:row r="9">
      <x:c r="A9" s="16" t="str">
        <x:v>5</x:v>
      </x:c>
      <x:c r="B9" s="16" t="str">
        <x:v>Troubleshoot using hypothesis → evidence → minimal change → verification.</x:v>
      </x:c>
      <x:c r="C9" s="58"/>
      <x:c r="D9" s="58"/>
      <x:c r="E9" s="58"/>
      <x:c r="F9" s="58"/>
      <x:c r="G9" s="58"/>
      <x:c r="H9" s="58"/>
    </x:row>
    <x:row r="10">
      <x:c r="A10" s="16" t="str">
        <x:v>6</x:v>
      </x:c>
      <x:c r="B10" s="16" t="str">
        <x:v>Record precheck, postcheck, rollback, and a concise root-cause note.</x:v>
      </x:c>
      <x:c r="C10" s="58"/>
      <x:c r="D10" s="58"/>
      <x:c r="E10" s="58"/>
      <x:c r="F10" s="58"/>
      <x:c r="G10" s="58"/>
      <x:c r="H10" s="58"/>
    </x:row>
    <x:row r="11">
      <x:c r="A11" s="17" t="str">
        <x:v>7</x:v>
      </x:c>
      <x:c r="B11" s="17" t="str">
        <x:v>Mark Mastered only when Confidence is 4 or 5 and the Required Evidence exists.</x:v>
      </x:c>
      <x:c r="C11" s="58"/>
      <x:c r="D11" s="58"/>
      <x:c r="E11" s="58"/>
      <x:c r="F11" s="58"/>
      <x:c r="G11" s="58"/>
      <x:c r="H11" s="58"/>
    </x:row>
    <x:row r="12">
      <x:c r="A12" s="58"/>
      <x:c r="B12" s="58"/>
      <x:c r="C12" s="58"/>
      <x:c r="D12" s="58"/>
      <x:c r="E12" s="58"/>
      <x:c r="F12" s="58"/>
      <x:c r="G12" s="58"/>
      <x:c r="H12" s="58"/>
    </x:row>
    <x:row r="13" ht="30" customHeight="1">
      <x:c r="A13" s="60" t="str">
        <x:v>Status</x:v>
      </x:c>
      <x:c r="B13" s="61" t="str">
        <x:v>Meaning</x:v>
      </x:c>
      <x:c r="C13" s="61" t="str">
        <x:v>Confidence</x:v>
      </x:c>
      <x:c r="D13" s="62" t="str">
        <x:v>Mastery gate</x:v>
      </x:c>
      <x:c r="E13" s="58"/>
      <x:c r="F13" s="58"/>
      <x:c r="G13" s="58"/>
      <x:c r="H13" s="58"/>
    </x:row>
    <x:row r="14">
      <x:c r="A14" s="15" t="str">
        <x:v>Not Started</x:v>
      </x:c>
      <x:c r="B14" s="15" t="str">
        <x:v>No meaningful attempt yet</x:v>
      </x:c>
      <x:c r="C14" s="15" t="str">
        <x:v>0–1</x:v>
      </x:c>
      <x:c r="D14" s="15" t="str">
        <x:v>Not mastered</x:v>
      </x:c>
      <x:c r="E14" s="58"/>
      <x:c r="F14" s="58"/>
      <x:c r="G14" s="58"/>
      <x:c r="H14" s="58"/>
    </x:row>
    <x:row r="15">
      <x:c r="A15" s="16" t="str">
        <x:v>In Progress</x:v>
      </x:c>
      <x:c r="B15" s="16" t="str">
        <x:v>Configuration or validation is incomplete</x:v>
      </x:c>
      <x:c r="C15" s="16" t="str">
        <x:v>2–3</x:v>
      </x:c>
      <x:c r="D15" s="16" t="str">
        <x:v>Not mastered</x:v>
      </x:c>
      <x:c r="E15" s="58"/>
      <x:c r="F15" s="58"/>
      <x:c r="G15" s="58"/>
      <x:c r="H15" s="58"/>
    </x:row>
    <x:row r="16">
      <x:c r="A16" s="16" t="str">
        <x:v>Blocked</x:v>
      </x:c>
      <x:c r="B16" s="16" t="str">
        <x:v>Lab cannot proceed; record the blocker</x:v>
      </x:c>
      <x:c r="C16" s="16" t="str">
        <x:v>Any</x:v>
      </x:c>
      <x:c r="D16" s="16" t="str">
        <x:v>Not mastered</x:v>
      </x:c>
      <x:c r="E16" s="58"/>
      <x:c r="F16" s="58"/>
      <x:c r="G16" s="58"/>
      <x:c r="H16" s="58"/>
    </x:row>
    <x:row r="17">
      <x:c r="A17" s="16" t="str">
        <x:v>Review</x:v>
      </x:c>
      <x:c r="B17" s="16" t="str">
        <x:v>Works, but explanation/evidence is incomplete</x:v>
      </x:c>
      <x:c r="C17" s="16" t="str">
        <x:v>3</x:v>
      </x:c>
      <x:c r="D17" s="16" t="str">
        <x:v>Not mastered</x:v>
      </x:c>
      <x:c r="E17" s="58"/>
      <x:c r="F17" s="58"/>
      <x:c r="G17" s="58"/>
      <x:c r="H17" s="58"/>
    </x:row>
    <x:row r="18">
      <x:c r="A18" s="16" t="str">
        <x:v>Mastered</x:v>
      </x:c>
      <x:c r="B18" s="16" t="str">
        <x:v>Repeatable without solution guide</x:v>
      </x:c>
      <x:c r="C18" s="16" t="str">
        <x:v>4–5</x:v>
      </x:c>
      <x:c r="D18" s="16" t="str">
        <x:v>Required evidence present</x:v>
      </x:c>
      <x:c r="E18" s="58"/>
      <x:c r="F18" s="58"/>
      <x:c r="G18" s="58"/>
      <x:c r="H18" s="58"/>
    </x:row>
    <x:row r="19">
      <x:c r="A19" s="17" t="str">
        <x:v>Revisit</x:v>
      </x:c>
      <x:c r="B19" s="17" t="str">
        <x:v>Previously mastered but skill has decayed</x:v>
      </x:c>
      <x:c r="C19" s="17" t="str">
        <x:v>2–3</x:v>
      </x:c>
      <x:c r="D19" s="17" t="str">
        <x:v>Repeat until ≥4</x:v>
      </x:c>
      <x:c r="E19" s="58"/>
      <x:c r="F19" s="58"/>
      <x:c r="G19" s="58"/>
      <x:c r="H19" s="58"/>
    </x:row>
    <x:row r="20">
      <x:c r="A20" s="58"/>
      <x:c r="B20" s="58"/>
      <x:c r="C20" s="58"/>
      <x:c r="D20" s="58"/>
      <x:c r="E20" s="58"/>
      <x:c r="F20" s="58"/>
      <x:c r="G20" s="58"/>
      <x:c r="H20" s="58"/>
    </x:row>
    <x:row r="21">
      <x:c r="A21" s="59" t="str">
        <x:v>Mastery evidence standard</x:v>
      </x:c>
      <x:c r="B21" s="58" t="str"/>
      <x:c r="C21" s="58" t="str"/>
      <x:c r="D21" s="58" t="str"/>
      <x:c r="E21" s="58" t="str"/>
      <x:c r="F21" s="58" t="str"/>
      <x:c r="G21" s="58" t="str"/>
      <x:c r="H21" s="58" t="str"/>
    </x:row>
    <x:row r="22">
      <x:c r="A22" s="29" t="str">
        <x:v>Configuration</x:v>
      </x:c>
      <x:c r="B22" s="15" t="str">
        <x:v>Final running config or intended diff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30" t="str">
        <x:v>Control plane</x:v>
      </x:c>
      <x:c r="B23" s="16" t="str">
        <x:v>Relevant protocol/database/RIB outputs</x:v>
      </x:c>
      <x:c r="C23" s="16" t="str"/>
      <x:c r="D23" s="16" t="str"/>
      <x:c r="E23" s="16" t="str"/>
      <x:c r="F23" s="16" t="str"/>
      <x:c r="G23" s="16" t="str"/>
      <x:c r="H23" s="16" t="str"/>
    </x:row>
    <x:row r="24">
      <x:c r="A24" s="30" t="str">
        <x:v>Data plane</x:v>
      </x:c>
      <x:c r="B24" s="16" t="str">
        <x:v>CEF/MPLS forwarding plus ping/traffic/packet proof</x:v>
      </x:c>
      <x:c r="C24" s="16" t="str"/>
      <x:c r="D24" s="16" t="str"/>
      <x:c r="E24" s="16" t="str"/>
      <x:c r="F24" s="16" t="str"/>
      <x:c r="G24" s="16" t="str"/>
      <x:c r="H24" s="16" t="str"/>
    </x:row>
    <x:row r="25">
      <x:c r="A25" s="30" t="str">
        <x:v>Failure</x:v>
      </x:c>
      <x:c r="B25" s="16" t="str">
        <x:v>Fault injected, symptoms captured, and root cause stated</x:v>
      </x:c>
      <x:c r="C25" s="16" t="str"/>
      <x:c r="D25" s="16" t="str"/>
      <x:c r="E25" s="16" t="str"/>
      <x:c r="F25" s="16" t="str"/>
      <x:c r="G25" s="16" t="str"/>
      <x:c r="H25" s="16" t="str"/>
    </x:row>
    <x:row r="26">
      <x:c r="A26" s="30" t="str">
        <x:v>Change safety</x:v>
      </x:c>
      <x:c r="B26" s="16" t="str">
        <x:v>Precheck, postcheck, rollback command/plan</x:v>
      </x:c>
      <x:c r="C26" s="16" t="str"/>
      <x:c r="D26" s="16" t="str"/>
      <x:c r="E26" s="16" t="str"/>
      <x:c r="F26" s="16" t="str"/>
      <x:c r="G26" s="16" t="str"/>
      <x:c r="H26" s="16" t="str"/>
    </x:row>
    <x:row r="27">
      <x:c r="A27" s="30" t="str">
        <x:v>Explanation</x:v>
      </x:c>
      <x:c r="B27" s="16" t="str">
        <x:v>Why the behavior occurred—not only which command fixed it</x:v>
      </x:c>
      <x:c r="C27" s="16" t="str"/>
      <x:c r="D27" s="16" t="str"/>
      <x:c r="E27" s="16" t="str"/>
      <x:c r="F27" s="16" t="str"/>
      <x:c r="G27" s="16" t="str"/>
      <x:c r="H27" s="16" t="str"/>
    </x:row>
    <x:row r="28">
      <x:c r="A28" s="31" t="str">
        <x:v>Timing</x:v>
      </x:c>
      <x:c r="B28" s="17" t="str">
        <x:v>For capstones: elapsed time and unresolved gaps</x:v>
      </x:c>
      <x:c r="C28" s="17" t="str"/>
      <x:c r="D28" s="17" t="str"/>
      <x:c r="E28" s="17" t="str"/>
      <x:c r="F28" s="17" t="str"/>
      <x:c r="G28" s="17" t="str"/>
      <x:c r="H28" s="17" t="str"/>
    </x:row>
  </x:sheetData>
  <x:mergeCells>
    <x:mergeCell ref="A1:H1"/>
    <x:mergeCell ref="A2:H2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45" hidden="0" customWidth="1"/>
    <x:col min="4" max="4" width="36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34" customHeight="1">
      <x:c r="A1" s="56" t="str">
        <x:v>Progress Dashboard</x:v>
      </x:c>
      <x:c r="B1" s="56"/>
      <x:c r="C1" s="56"/>
      <x:c r="D1" s="56"/>
      <x:c r="E1" s="56"/>
      <x:c r="F1" s="56"/>
      <x:c r="G1" s="56"/>
      <x:c r="H1" s="56"/>
    </x:row>
    <x:row r="2" ht="30" customHeight="1">
      <x:c r="A2" s="57" t="str">
        <x:v>Live formulas update when Status, Confidence, and evidence fields change</x:v>
      </x:c>
      <x:c r="B2" s="57" t="str">
        <x:v>Live formulas update when Status, Confidence, and evidence fields change</x:v>
      </x:c>
      <x:c r="C2" s="57" t="str">
        <x:v>Live formulas update when Status, Confidence, and evidence fields change</x:v>
      </x:c>
      <x:c r="D2" s="57" t="str">
        <x:v>Live formulas update when Status, Confidence, and evidence fields change</x:v>
      </x:c>
      <x:c r="E2" s="57" t="str">
        <x:v>Live formulas update when Status, Confidence, and evidence fields change</x:v>
      </x:c>
      <x:c r="F2" s="57" t="str">
        <x:v>Live formulas update when Status, Confidence, and evidence fields change</x:v>
      </x:c>
      <x:c r="G2" s="57" t="str">
        <x:v>Live formulas update when Status, Confidence, and evidence fields change</x:v>
      </x:c>
      <x:c r="H2" s="57" t="str">
        <x:v>Live formulas update when Status, Confidence, and evidence fields change</x:v>
      </x:c>
    </x:row>
    <x:row r="3">
      <x:c r="A3" s="58"/>
      <x:c r="B3" s="58"/>
      <x:c r="C3" s="58"/>
      <x:c r="D3" s="58"/>
      <x:c r="E3" s="58"/>
      <x:c r="F3" s="58"/>
      <x:c r="G3" s="58"/>
      <x:c r="H3" s="58"/>
    </x:row>
    <x:row r="4" ht="30" customHeight="1">
      <x:c r="A4" s="60" t="str">
        <x:v>Metric</x:v>
      </x:c>
      <x:c r="B4" s="62" t="str">
        <x:v>Value</x:v>
      </x:c>
      <x:c r="C4" s="58"/>
      <x:c r="D4" s="60" t="str">
        <x:v>Phase</x:v>
      </x:c>
      <x:c r="E4" s="61" t="str">
        <x:v>Labs</x:v>
      </x:c>
      <x:c r="F4" s="61" t="str">
        <x:v>Mastered</x:v>
      </x:c>
      <x:c r="G4" s="61" t="str">
        <x:v>Hours</x:v>
      </x:c>
      <x:c r="H4" s="62" t="str">
        <x:v>Completion</x:v>
      </x:c>
    </x:row>
    <x:row r="5">
      <x:c r="A5" s="63" t="str">
        <x:v>Total Labs</x:v>
      </x:c>
      <x:c r="B5" s="64" t="n">
        <x:f>COUNTA('Lab Checklist'!$A$5:$A$165)</x:f>
        <x:v>161</x:v>
      </x:c>
      <x:c r="C5" s="58"/>
      <x:c r="D5" s="15" t="str">
        <x:v>1. IOS XR &amp; SP Foundations</x:v>
      </x:c>
      <x:c r="E5" s="15" t="n">
        <x:v>7</x:v>
      </x:c>
      <x:c r="F5" s="15" t="n">
        <x:f>COUNTIFS('Lab Checklist'!$B$5:$B$165,1,'Lab Checklist'!$K$5:$K$165,"Mastered")</x:f>
        <x:v>0</x:v>
      </x:c>
      <x:c r="G5" s="15" t="n">
        <x:f>SUMIF('Lab Checklist'!$B$5:$B$165,1,'Lab Checklist'!$G$5:$G$165)</x:f>
        <x:v>18</x:v>
      </x:c>
      <x:c r="H5" s="53" t="n">
        <x:f>IF(E5=0,0,F5/E5)</x:f>
        <x:v>0</x:v>
      </x:c>
    </x:row>
    <x:row r="6">
      <x:c r="A6" s="65" t="str">
        <x:v>Mastered</x:v>
      </x:c>
      <x:c r="B6" s="66" t="n">
        <x:f>COUNTIF('Lab Checklist'!$K$5:$K$165,"Mastered")</x:f>
        <x:v>0</x:v>
      </x:c>
      <x:c r="C6" s="58"/>
      <x:c r="D6" s="16" t="str">
        <x:v>2. Dual-Stack IGP Engineering</x:v>
      </x:c>
      <x:c r="E6" s="16" t="n">
        <x:v>12</x:v>
      </x:c>
      <x:c r="F6" s="16" t="n">
        <x:f>COUNTIFS('Lab Checklist'!$B$5:$B$165,2,'Lab Checklist'!$K$5:$K$165,"Mastered")</x:f>
        <x:v>0</x:v>
      </x:c>
      <x:c r="G6" s="16" t="n">
        <x:f>SUMIF('Lab Checklist'!$B$5:$B$165,2,'Lab Checklist'!$G$5:$G$165)</x:f>
        <x:v>33</x:v>
      </x:c>
      <x:c r="H6" s="54" t="n">
        <x:f>IF(E6=0,0,F6/E6)</x:f>
        <x:v>0</x:v>
      </x:c>
    </x:row>
    <x:row r="7">
      <x:c r="A7" s="65" t="str">
        <x:v>In Progress</x:v>
      </x:c>
      <x:c r="B7" s="66" t="n">
        <x:f>COUNTIF('Lab Checklist'!$K$5:$K$165,"In Progress")</x:f>
        <x:v>0</x:v>
      </x:c>
      <x:c r="C7" s="58"/>
      <x:c r="D7" s="16" t="str">
        <x:v>3. BGP at Service-Provider Scale</x:v>
      </x:c>
      <x:c r="E7" s="16" t="n">
        <x:v>14</x:v>
      </x:c>
      <x:c r="F7" s="16" t="n">
        <x:f>COUNTIFS('Lab Checklist'!$B$5:$B$165,3,'Lab Checklist'!$K$5:$K$165,"Mastered")</x:f>
        <x:v>0</x:v>
      </x:c>
      <x:c r="G7" s="16" t="n">
        <x:f>SUMIF('Lab Checklist'!$B$5:$B$165,3,'Lab Checklist'!$G$5:$G$165)</x:f>
        <x:v>62</x:v>
      </x:c>
      <x:c r="H7" s="54" t="n">
        <x:f>IF(E7=0,0,F7/E7)</x:f>
        <x:v>0</x:v>
      </x:c>
    </x:row>
    <x:row r="8">
      <x:c r="A8" s="65" t="str">
        <x:v>Total Estimated Hours</x:v>
      </x:c>
      <x:c r="B8" s="66" t="n">
        <x:f>SUM('Lab Checklist'!$G$5:$G$165)</x:f>
        <x:v>699</x:v>
      </x:c>
      <x:c r="C8" s="58"/>
      <x:c r="D8" s="16" t="str">
        <x:v>4. MPLS Transport: LDP &amp; RSVP-TE</x:v>
      </x:c>
      <x:c r="E8" s="16" t="n">
        <x:v>10</x:v>
      </x:c>
      <x:c r="F8" s="16" t="n">
        <x:f>COUNTIFS('Lab Checklist'!$B$5:$B$165,4,'Lab Checklist'!$K$5:$K$165,"Mastered")</x:f>
        <x:v>0</x:v>
      </x:c>
      <x:c r="G8" s="16" t="n">
        <x:f>SUMIF('Lab Checklist'!$B$5:$B$165,4,'Lab Checklist'!$G$5:$G$165)</x:f>
        <x:v>44</x:v>
      </x:c>
      <x:c r="H8" s="54" t="n">
        <x:f>IF(E8=0,0,F8/E8)</x:f>
        <x:v>0</x:v>
      </x:c>
    </x:row>
    <x:row r="9">
      <x:c r="A9" s="67" t="str">
        <x:v>Completion</x:v>
      </x:c>
      <x:c r="B9" s="68" t="n">
        <x:f>IF(B5=0,0,B6/B5)</x:f>
        <x:v>0</x:v>
      </x:c>
      <x:c r="C9" s="58"/>
      <x:c r="D9" s="16" t="str">
        <x:v>5. Segment Routing MPLS &amp; SR-TE</x:v>
      </x:c>
      <x:c r="E9" s="16" t="n">
        <x:v>13</x:v>
      </x:c>
      <x:c r="F9" s="16" t="n">
        <x:f>COUNTIFS('Lab Checklist'!$B$5:$B$165,5,'Lab Checklist'!$K$5:$K$165,"Mastered")</x:f>
        <x:v>0</x:v>
      </x:c>
      <x:c r="G9" s="16" t="n">
        <x:f>SUMIF('Lab Checklist'!$B$5:$B$165,5,'Lab Checklist'!$G$5:$G$165)</x:f>
        <x:v>58</x:v>
      </x:c>
      <x:c r="H9" s="54" t="n">
        <x:f>IF(E9=0,0,F9/E9)</x:f>
        <x:v>0</x:v>
      </x:c>
    </x:row>
    <x:row r="10">
      <x:c r="A10" s="58"/>
      <x:c r="B10" s="58"/>
      <x:c r="C10" s="58"/>
      <x:c r="D10" s="16" t="str">
        <x:v>6. L3VPN &amp; Inter-AS</x:v>
      </x:c>
      <x:c r="E10" s="16" t="n">
        <x:v>15</x:v>
      </x:c>
      <x:c r="F10" s="16" t="n">
        <x:f>COUNTIFS('Lab Checklist'!$B$5:$B$165,6,'Lab Checklist'!$K$5:$K$165,"Mastered")</x:f>
        <x:v>0</x:v>
      </x:c>
      <x:c r="G10" s="16" t="n">
        <x:f>SUMIF('Lab Checklist'!$B$5:$B$165,6,'Lab Checklist'!$G$5:$G$165)</x:f>
        <x:v>66</x:v>
      </x:c>
      <x:c r="H10" s="54" t="n">
        <x:f>IF(E10=0,0,F10/E10)</x:f>
        <x:v>0</x:v>
      </x:c>
    </x:row>
    <x:row r="11">
      <x:c r="A11" s="58"/>
      <x:c r="B11" s="58"/>
      <x:c r="C11" s="58"/>
      <x:c r="D11" s="16" t="str">
        <x:v>7. L2VPN, EVPN &amp; Multihoming</x:v>
      </x:c>
      <x:c r="E11" s="16" t="n">
        <x:v>16</x:v>
      </x:c>
      <x:c r="F11" s="16" t="n">
        <x:f>COUNTIFS('Lab Checklist'!$B$5:$B$165,7,'Lab Checklist'!$K$5:$K$165,"Mastered")</x:f>
        <x:v>0</x:v>
      </x:c>
      <x:c r="G11" s="16" t="n">
        <x:f>SUMIF('Lab Checklist'!$B$5:$B$165,7,'Lab Checklist'!$G$5:$G$165)</x:f>
        <x:v>72</x:v>
      </x:c>
      <x:c r="H11" s="54" t="n">
        <x:f>IF(E11=0,0,F11/E11)</x:f>
        <x:v>0</x:v>
      </x:c>
    </x:row>
    <x:row r="12" ht="30" customHeight="1">
      <x:c r="A12" s="60" t="str">
        <x:v>Mastery quality gate</x:v>
      </x:c>
      <x:c r="B12" s="62" t="str">
        <x:v>Value</x:v>
      </x:c>
      <x:c r="C12" s="58"/>
      <x:c r="D12" s="16" t="str">
        <x:v>8. Multicast &amp; mVPN</x:v>
      </x:c>
      <x:c r="E12" s="16" t="n">
        <x:v>11</x:v>
      </x:c>
      <x:c r="F12" s="16" t="n">
        <x:f>COUNTIFS('Lab Checklist'!$B$5:$B$165,8,'Lab Checklist'!$K$5:$K$165,"Mastered")</x:f>
        <x:v>0</x:v>
      </x:c>
      <x:c r="G12" s="16" t="n">
        <x:f>SUMIF('Lab Checklist'!$B$5:$B$165,8,'Lab Checklist'!$G$5:$G$165)</x:f>
        <x:v>48</x:v>
      </x:c>
      <x:c r="H12" s="54" t="n">
        <x:f>IF(E12=0,0,F12/E12)</x:f>
        <x:v>0</x:v>
      </x:c>
    </x:row>
    <x:row r="13">
      <x:c r="A13" s="15" t="str">
        <x:v>Confidence ≥4</x:v>
      </x:c>
      <x:c r="B13" s="15" t="str">
        <x:v>Enter 4 or 5</x:v>
      </x:c>
      <x:c r="C13" s="58"/>
      <x:c r="D13" s="16" t="str">
        <x:v>9. Access, Metro &amp; Subscriber Edge</x:v>
      </x:c>
      <x:c r="E13" s="16" t="n">
        <x:v>7</x:v>
      </x:c>
      <x:c r="F13" s="16" t="n">
        <x:f>COUNTIFS('Lab Checklist'!$B$5:$B$165,9,'Lab Checklist'!$K$5:$K$165,"Mastered")</x:f>
        <x:v>0</x:v>
      </x:c>
      <x:c r="G13" s="16" t="n">
        <x:f>SUMIF('Lab Checklist'!$B$5:$B$165,9,'Lab Checklist'!$G$5:$G$165)</x:f>
        <x:v>30</x:v>
      </x:c>
      <x:c r="H13" s="54" t="n">
        <x:f>IF(E13=0,0,F13/E13)</x:f>
        <x:v>0</x:v>
      </x:c>
    </x:row>
    <x:row r="14">
      <x:c r="A14" s="16" t="str">
        <x:v>Status</x:v>
      </x:c>
      <x:c r="B14" s="16" t="str">
        <x:v>Mastered</x:v>
      </x:c>
      <x:c r="C14" s="58"/>
      <x:c r="D14" s="16" t="str">
        <x:v>10. QoS &amp; Traffic Engineering</x:v>
      </x:c>
      <x:c r="E14" s="16" t="n">
        <x:v>8</x:v>
      </x:c>
      <x:c r="F14" s="16" t="n">
        <x:f>COUNTIFS('Lab Checklist'!$B$5:$B$165,10,'Lab Checklist'!$K$5:$K$165,"Mastered")</x:f>
        <x:v>0</x:v>
      </x:c>
      <x:c r="G14" s="16" t="n">
        <x:f>SUMIF('Lab Checklist'!$B$5:$B$165,10,'Lab Checklist'!$G$5:$G$165)</x:f>
        <x:v>36</x:v>
      </x:c>
      <x:c r="H14" s="54" t="n">
        <x:f>IF(E14=0,0,F14/E14)</x:f>
        <x:v>0</x:v>
      </x:c>
    </x:row>
    <x:row r="15">
      <x:c r="A15" s="16" t="str">
        <x:v>Evidence</x:v>
      </x:c>
      <x:c r="B15" s="16" t="str">
        <x:v>Required</x:v>
      </x:c>
      <x:c r="C15" s="58"/>
      <x:c r="D15" s="16" t="str">
        <x:v>11. High Availability &amp; Fast Convergence</x:v>
      </x:c>
      <x:c r="E15" s="16" t="n">
        <x:v>8</x:v>
      </x:c>
      <x:c r="F15" s="16" t="n">
        <x:f>COUNTIFS('Lab Checklist'!$B$5:$B$165,11,'Lab Checklist'!$K$5:$K$165,"Mastered")</x:f>
        <x:v>0</x:v>
      </x:c>
      <x:c r="G15" s="16" t="n">
        <x:f>SUMIF('Lab Checklist'!$B$5:$B$165,11,'Lab Checklist'!$G$5:$G$165)</x:f>
        <x:v>36</x:v>
      </x:c>
      <x:c r="H15" s="54" t="n">
        <x:f>IF(E15=0,0,F15/E15)</x:f>
        <x:v>0</x:v>
      </x:c>
    </x:row>
    <x:row r="16">
      <x:c r="A16" s="17" t="str">
        <x:v>Rule</x:v>
      </x:c>
      <x:c r="B16" s="17" t="str">
        <x:v>A lab counts as mastered only when all evidence exists; Dashboard uses Status as the progress signal.</x:v>
      </x:c>
      <x:c r="C16" s="58"/>
      <x:c r="D16" s="16" t="str">
        <x:v>12. Security &amp; Infrastructure Protection</x:v>
      </x:c>
      <x:c r="E16" s="16" t="n">
        <x:v>8</x:v>
      </x:c>
      <x:c r="F16" s="16" t="n">
        <x:f>COUNTIFS('Lab Checklist'!$B$5:$B$165,12,'Lab Checklist'!$K$5:$K$165,"Mastered")</x:f>
        <x:v>0</x:v>
      </x:c>
      <x:c r="G16" s="16" t="n">
        <x:f>SUMIF('Lab Checklist'!$B$5:$B$165,12,'Lab Checklist'!$G$5:$G$165)</x:f>
        <x:v>36</x:v>
      </x:c>
      <x:c r="H16" s="54" t="n">
        <x:f>IF(E16=0,0,F16/E16)</x:f>
        <x:v>0</x:v>
      </x:c>
    </x:row>
    <x:row r="17">
      <x:c r="A17" s="58"/>
      <x:c r="B17" s="58"/>
      <x:c r="C17" s="58"/>
      <x:c r="D17" s="16" t="str">
        <x:v>13. Operations, Assurance &amp; Telemetry</x:v>
      </x:c>
      <x:c r="E17" s="16" t="n">
        <x:v>10</x:v>
      </x:c>
      <x:c r="F17" s="16" t="n">
        <x:f>COUNTIFS('Lab Checklist'!$B$5:$B$165,13,'Lab Checklist'!$K$5:$K$165,"Mastered")</x:f>
        <x:v>0</x:v>
      </x:c>
      <x:c r="G17" s="16" t="n">
        <x:f>SUMIF('Lab Checklist'!$B$5:$B$165,13,'Lab Checklist'!$G$5:$G$165)</x:f>
        <x:v>44</x:v>
      </x:c>
      <x:c r="H17" s="54" t="n">
        <x:f>IF(E17=0,0,F17/E17)</x:f>
        <x:v>0</x:v>
      </x:c>
    </x:row>
    <x:row r="18">
      <x:c r="A18" s="58"/>
      <x:c r="B18" s="58"/>
      <x:c r="C18" s="58"/>
      <x:c r="D18" s="16" t="str">
        <x:v>14. Automation &amp; Programmability</x:v>
      </x:c>
      <x:c r="E18" s="16" t="n">
        <x:v>10</x:v>
      </x:c>
      <x:c r="F18" s="16" t="n">
        <x:f>COUNTIFS('Lab Checklist'!$B$5:$B$165,14,'Lab Checklist'!$K$5:$K$165,"Mastered")</x:f>
        <x:v>0</x:v>
      </x:c>
      <x:c r="G18" s="16" t="n">
        <x:f>SUMIF('Lab Checklist'!$B$5:$B$165,14,'Lab Checklist'!$G$5:$G$165)</x:f>
        <x:v>44</x:v>
      </x:c>
      <x:c r="H18" s="54" t="n">
        <x:f>IF(E18=0,0,F18/E18)</x:f>
        <x:v>0</x:v>
      </x:c>
    </x:row>
    <x:row r="19">
      <x:c r="A19" s="58"/>
      <x:c r="B19" s="58"/>
      <x:c r="C19" s="58"/>
      <x:c r="D19" s="17" t="str">
        <x:v>15. Design, Migration &amp; Expert Integration</x:v>
      </x:c>
      <x:c r="E19" s="17" t="n">
        <x:v>12</x:v>
      </x:c>
      <x:c r="F19" s="17" t="n">
        <x:f>COUNTIFS('Lab Checklist'!$B$5:$B$165,15,'Lab Checklist'!$K$5:$K$165,"Mastered")</x:f>
        <x:v>0</x:v>
      </x:c>
      <x:c r="G19" s="17" t="n">
        <x:f>SUMIF('Lab Checklist'!$B$5:$B$165,15,'Lab Checklist'!$G$5:$G$165)</x:f>
        <x:v>72</x:v>
      </x:c>
      <x:c r="H19" s="55" t="n">
        <x:f>IF(E19=0,0,F19/E19)</x:f>
        <x:v>0</x:v>
      </x:c>
    </x:row>
  </x:sheetData>
  <x:mergeCells>
    <x:mergeCell ref="A1:H1"/>
    <x:mergeCell ref="A2:H2"/>
  </x:mergeCells>
  <x:conditionalFormatting sqref="H5:H19">
    <x:cfRule type="dataBar" priority="1">
      <x:dataBar>
        <x:cfvo type="min"/>
        <x:cfvo type="max"/>
        <x:color rgb="FF1464F4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1464F4"/>
            </x14:dataBar>
          </x14:cfRule>
          <xm:sqref>H5:H19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6" hidden="0" customWidth="1"/>
    <x:col min="3" max="3" width="46" hidden="0" customWidth="1"/>
    <x:col min="4" max="4" width="10" hidden="0" customWidth="1"/>
    <x:col min="5" max="5" width="12" hidden="0" customWidth="1"/>
    <x:col min="6" max="6" width="16" hidden="0" customWidth="1"/>
    <x:col min="7" max="7" width="42" hidden="0" customWidth="1"/>
  </x:cols>
  <x:sheetData>
    <x:row r="1" ht="34" customHeight="1">
      <x:c r="A1" s="56" t="str">
        <x:v>Technology Roadmap</x:v>
      </x:c>
      <x:c r="B1" s="56"/>
      <x:c r="C1" s="56"/>
      <x:c r="D1" s="56"/>
      <x:c r="E1" s="56"/>
      <x:c r="F1" s="56"/>
      <x:c r="G1" s="56"/>
      <x:c r="H1" s="58"/>
    </x:row>
    <x:row r="2" ht="30" customHeight="1">
      <x:c r="A2" s="57" t="str">
        <x:v>Exit gates emphasize production behavior and repeatable troubleshooting—not topic recognition</x:v>
      </x:c>
      <x:c r="B2" s="57" t="str">
        <x:v>Exit gates emphasize production behavior and repeatable troubleshooting—not topic recognition</x:v>
      </x:c>
      <x:c r="C2" s="57" t="str">
        <x:v>Exit gates emphasize production behavior and repeatable troubleshooting—not topic recognition</x:v>
      </x:c>
      <x:c r="D2" s="57" t="str">
        <x:v>Exit gates emphasize production behavior and repeatable troubleshooting—not topic recognition</x:v>
      </x:c>
      <x:c r="E2" s="57" t="str">
        <x:v>Exit gates emphasize production behavior and repeatable troubleshooting—not topic recognition</x:v>
      </x:c>
      <x:c r="F2" s="57" t="str">
        <x:v>Exit gates emphasize production behavior and repeatable troubleshooting—not topic recognition</x:v>
      </x:c>
      <x:c r="G2" s="57" t="str">
        <x:v>Exit gates emphasize production behavior and repeatable troubleshooting—not topic recognition</x:v>
      </x:c>
      <x:c r="H2" s="57" t="str">
        <x:v>Exit gates emphasize production behavior and repeatable troubleshooting—not topic recognition</x:v>
      </x:c>
    </x:row>
    <x:row r="3">
      <x:c r="A3" s="58"/>
      <x:c r="B3" s="58"/>
      <x:c r="C3" s="58"/>
      <x:c r="D3" s="58"/>
      <x:c r="E3" s="58"/>
      <x:c r="F3" s="58"/>
      <x:c r="G3" s="58"/>
      <x:c r="H3" s="58"/>
    </x:row>
    <x:row r="4" ht="30" customHeight="1">
      <x:c r="A4" s="60" t="str">
        <x:v>Phase</x:v>
      </x:c>
      <x:c r="B4" s="61" t="str">
        <x:v>Primary Goal</x:v>
      </x:c>
      <x:c r="C4" s="61" t="str">
        <x:v>Exit Gate</x:v>
      </x:c>
      <x:c r="D4" s="61" t="str">
        <x:v>Labs</x:v>
      </x:c>
      <x:c r="E4" s="61" t="str">
        <x:v>Est. Hours</x:v>
      </x:c>
      <x:c r="F4" s="61" t="str">
        <x:v>Suggested Weeks</x:v>
      </x:c>
      <x:c r="G4" s="62" t="str">
        <x:v>Why It Matters</x:v>
      </x:c>
      <x:c r="H4" s="58"/>
    </x:row>
    <x:row r="5" ht="108" hidden="0" customHeight="1">
      <x:c r="A5" s="29" t="str">
        <x:v>1. IOS XR &amp; SP Foundations</x:v>
      </x:c>
      <x:c r="B5" s="15" t="str">
        <x:v>Operate IOS XR safely and build repeatable lab baselines</x:v>
      </x:c>
      <x:c r="C5" s="15" t="str">
        <x:v>Commit/rollback, interface/bundle, RIB/FIB and evidence workflow are fluent</x:v>
      </x:c>
      <x:c r="D5" s="15" t="n">
        <x:v>7</x:v>
      </x:c>
      <x:c r="E5" s="15" t="n">
        <x:v>18</x:v>
      </x:c>
      <x:c r="F5" s="15" t="str">
        <x:v>2–3</x:v>
      </x:c>
      <x:c r="G5" s="15" t="str">
        <x:v>Transfers your CCIE R&amp;S base into IOS XR and SP-scale underlays.</x:v>
      </x:c>
      <x:c r="H5" s="58"/>
    </x:row>
    <x:row r="6" ht="108" hidden="0" customHeight="1">
      <x:c r="A6" s="30" t="str">
        <x:v>2. Dual-Stack IGP Engineering</x:v>
      </x:c>
      <x:c r="B6" s="16" t="str">
        <x:v>Engineer scalable IS-IS and OSPFv2/v3 underlays</x:v>
      </x:c>
      <x:c r="C6" s="16" t="str">
        <x:v>Predict adjacencies, LSDB/SPF behavior, metrics, summarization and convergence</x:v>
      </x:c>
      <x:c r="D6" s="16" t="n">
        <x:v>12</x:v>
      </x:c>
      <x:c r="E6" s="16" t="n">
        <x:v>33</x:v>
      </x:c>
      <x:c r="F6" s="16" t="str">
        <x:v>4–5</x:v>
      </x:c>
      <x:c r="G6" s="16" t="str">
        <x:v>Transfers your CCIE R&amp;S base into IOS XR and SP-scale underlays.</x:v>
      </x:c>
      <x:c r="H6" s="58"/>
    </x:row>
    <x:row r="7" ht="96" hidden="0" customHeight="1">
      <x:c r="A7" s="30" t="str">
        <x:v>3. BGP at Service-Provider Scale</x:v>
      </x:c>
      <x:c r="B7" s="16" t="str">
        <x:v>Build policy-rich, scalable interdomain routing</x:v>
      </x:c>
      <x:c r="C7" s="16" t="str">
        <x:v>Explain and prove best path, RR behavior, policy, PIC and graceful operations</x:v>
      </x:c>
      <x:c r="D7" s="16" t="n">
        <x:v>14</x:v>
      </x:c>
      <x:c r="E7" s="16" t="n">
        <x:v>62</x:v>
      </x:c>
      <x:c r="F7" s="16" t="str">
        <x:v>5–6</x:v>
      </x:c>
      <x:c r="G7" s="16" t="str">
        <x:v>Builds deployable SP transport and customer services.</x:v>
      </x:c>
      <x:c r="H7" s="58"/>
    </x:row>
    <x:row r="8" ht="84" hidden="0" customHeight="1">
      <x:c r="A8" s="30" t="str">
        <x:v>4. MPLS Transport: LDP &amp; RSVP-TE</x:v>
      </x:c>
      <x:c r="B8" s="16" t="str">
        <x:v>Master legacy and still-deployed MPLS transports</x:v>
      </x:c>
      <x:c r="C8" s="16" t="str">
        <x:v>Trace labels end-to-end and repair transport/TE failures</x:v>
      </x:c>
      <x:c r="D8" s="16" t="n">
        <x:v>10</x:v>
      </x:c>
      <x:c r="E8" s="16" t="n">
        <x:v>44</x:v>
      </x:c>
      <x:c r="F8" s="16" t="str">
        <x:v>4–5</x:v>
      </x:c>
      <x:c r="G8" s="16" t="str">
        <x:v>Builds deployable SP transport and customer services.</x:v>
      </x:c>
      <x:c r="H8" s="58"/>
    </x:row>
    <x:row r="9" ht="84" hidden="0" customHeight="1">
      <x:c r="A9" s="30" t="str">
        <x:v>5. Segment Routing MPLS &amp; SR-TE</x:v>
      </x:c>
      <x:c r="B9" s="16" t="str">
        <x:v>Build modern SR-MPLS transport and traffic engineering</x:v>
      </x:c>
      <x:c r="C9" s="16" t="str">
        <x:v>Engineer SIDs, policies, TI-LFA and PCE-driven paths</x:v>
      </x:c>
      <x:c r="D9" s="16" t="n">
        <x:v>13</x:v>
      </x:c>
      <x:c r="E9" s="16" t="n">
        <x:v>58</x:v>
      </x:c>
      <x:c r="F9" s="16" t="str">
        <x:v>5–6</x:v>
      </x:c>
      <x:c r="G9" s="16" t="str">
        <x:v>Builds deployable SP transport and customer services.</x:v>
      </x:c>
      <x:c r="H9" s="58"/>
    </x:row>
    <x:row r="10" ht="84" hidden="0" customHeight="1">
      <x:c r="A10" s="30" t="str">
        <x:v>6. L3VPN &amp; Inter-AS</x:v>
      </x:c>
      <x:c r="B10" s="16" t="str">
        <x:v>Deliver resilient IPv4/IPv6 MPLS L3VPN services</x:v>
      </x:c>
      <x:c r="C10" s="16" t="str">
        <x:v>Trace VPN routes/labels and solve leaking, PE-CE and Inter-AS faults</x:v>
      </x:c>
      <x:c r="D10" s="16" t="n">
        <x:v>15</x:v>
      </x:c>
      <x:c r="E10" s="16" t="n">
        <x:v>66</x:v>
      </x:c>
      <x:c r="F10" s="16" t="str">
        <x:v>5–6</x:v>
      </x:c>
      <x:c r="G10" s="16" t="str">
        <x:v>Builds deployable SP transport and customer services.</x:v>
      </x:c>
      <x:c r="H10" s="58"/>
    </x:row>
    <x:row r="11" ht="96" hidden="0" customHeight="1">
      <x:c r="A11" s="30" t="str">
        <x:v>7. L2VPN, EVPN &amp; Multihoming</x:v>
      </x:c>
      <x:c r="B11" s="16" t="str">
        <x:v>Deliver VPWS/VPLS/EVPN services over MPLS</x:v>
      </x:c>
      <x:c r="C11" s="16" t="str">
        <x:v>Explain EVPN route types, DF, aliasing, mass-withdraw and data-plane behavior</x:v>
      </x:c>
      <x:c r="D11" s="16" t="n">
        <x:v>16</x:v>
      </x:c>
      <x:c r="E11" s="16" t="n">
        <x:v>72</x:v>
      </x:c>
      <x:c r="F11" s="16" t="str">
        <x:v>6–7</x:v>
      </x:c>
      <x:c r="G11" s="16" t="str">
        <x:v>Builds deployable SP transport and customer services.</x:v>
      </x:c>
      <x:c r="H11" s="58"/>
    </x:row>
    <x:row r="12" ht="84" hidden="0" customHeight="1">
      <x:c r="A12" s="30" t="str">
        <x:v>8. Multicast &amp; mVPN</x:v>
      </x:c>
      <x:c r="B12" s="16" t="str">
        <x:v>Operate provider and VPN multicast services</x:v>
      </x:c>
      <x:c r="C12" s="16" t="str">
        <x:v>Trace trees, signaling and RPF across core and VPN domains</x:v>
      </x:c>
      <x:c r="D12" s="16" t="n">
        <x:v>11</x:v>
      </x:c>
      <x:c r="E12" s="16" t="n">
        <x:v>48</x:v>
      </x:c>
      <x:c r="F12" s="16" t="str">
        <x:v>4–5</x:v>
      </x:c>
      <x:c r="G12" s="16" t="str">
        <x:v>Builds deployable SP transport and customer services.</x:v>
      </x:c>
      <x:c r="H12" s="58"/>
    </x:row>
    <x:row r="13" ht="120" hidden="0" customHeight="1">
      <x:c r="A13" s="30" t="str">
        <x:v>9. Access, Metro &amp; Subscriber Edge</x:v>
      </x:c>
      <x:c r="B13" s="16" t="str">
        <x:v>Understand realistic SP access and subscriber service handoff</x:v>
      </x:c>
      <x:c r="C13" s="16" t="str">
        <x:v>Operate Ethernet access, BNG concepts, DHCP/PPPoE and service demarcation</x:v>
      </x:c>
      <x:c r="D13" s="16" t="n">
        <x:v>7</x:v>
      </x:c>
      <x:c r="E13" s="16" t="n">
        <x:v>30</x:v>
      </x:c>
      <x:c r="F13" s="16" t="str">
        <x:v>3–4</x:v>
      </x:c>
      <x:c r="G13" s="16" t="str">
        <x:v>Builds deployable SP transport and customer services.</x:v>
      </x:c>
      <x:c r="H13" s="58"/>
    </x:row>
    <x:row r="14" ht="84" hidden="0" customHeight="1">
      <x:c r="A14" s="30" t="str">
        <x:v>10. QoS &amp; Traffic Engineering</x:v>
      </x:c>
      <x:c r="B14" s="16" t="str">
        <x:v>Engineer measurable service differentiation</x:v>
      </x:c>
      <x:c r="C14" s="16" t="str">
        <x:v>Classify, mark, police, shape, queue and verify under congestion</x:v>
      </x:c>
      <x:c r="D14" s="16" t="n">
        <x:v>8</x:v>
      </x:c>
      <x:c r="E14" s="16" t="n">
        <x:v>36</x:v>
      </x:c>
      <x:c r="F14" s="16" t="str">
        <x:v>3–4</x:v>
      </x:c>
      <x:c r="G14" s="16" t="str">
        <x:v>Builds deployable SP transport and customer services.</x:v>
      </x:c>
      <x:c r="H14" s="58"/>
    </x:row>
    <x:row r="15" ht="84" hidden="0" customHeight="1">
      <x:c r="A15" s="30" t="str">
        <x:v>11. High Availability &amp; Fast Convergence</x:v>
      </x:c>
      <x:c r="B15" s="16" t="str">
        <x:v>Minimize outage across link, node and control-plane failures</x:v>
      </x:c>
      <x:c r="C15" s="16" t="str">
        <x:v>Measure failure impact and convergence with BFD, FRR, NSR and GR</x:v>
      </x:c>
      <x:c r="D15" s="16" t="n">
        <x:v>8</x:v>
      </x:c>
      <x:c r="E15" s="16" t="n">
        <x:v>36</x:v>
      </x:c>
      <x:c r="F15" s="16" t="str">
        <x:v>3–4</x:v>
      </x:c>
      <x:c r="G15" s="16" t="str">
        <x:v>Builds deployable SP transport and customer services.</x:v>
      </x:c>
      <x:c r="H15" s="58"/>
    </x:row>
    <x:row r="16" ht="96" hidden="0" customHeight="1">
      <x:c r="A16" s="30" t="str">
        <x:v>12. Security &amp; Infrastructure Protection</x:v>
      </x:c>
      <x:c r="B16" s="16" t="str">
        <x:v>Harden routing, management and data planes</x:v>
      </x:c>
      <x:c r="C16" s="16" t="str">
        <x:v>Apply protections without breaking operations and prove attack/failure behavior</x:v>
      </x:c>
      <x:c r="D16" s="16" t="n">
        <x:v>8</x:v>
      </x:c>
      <x:c r="E16" s="16" t="n">
        <x:v>36</x:v>
      </x:c>
      <x:c r="F16" s="16" t="str">
        <x:v>3–4</x:v>
      </x:c>
      <x:c r="G16" s="16" t="str">
        <x:v>Builds deployable SP transport and customer services.</x:v>
      </x:c>
      <x:c r="H16" s="58"/>
    </x:row>
    <x:row r="17" ht="96" hidden="0" customHeight="1">
      <x:c r="A17" s="30" t="str">
        <x:v>13. Operations, Assurance &amp; Telemetry</x:v>
      </x:c>
      <x:c r="B17" s="16" t="str">
        <x:v>Troubleshoot and observe production-like networks</x:v>
      </x:c>
      <x:c r="C17" s="16" t="str">
        <x:v>Use OAM, logs, telemetry and packet-level evidence to isolate faults</x:v>
      </x:c>
      <x:c r="D17" s="16" t="n">
        <x:v>10</x:v>
      </x:c>
      <x:c r="E17" s="16" t="n">
        <x:v>44</x:v>
      </x:c>
      <x:c r="F17" s="16" t="str">
        <x:v>4–5</x:v>
      </x:c>
      <x:c r="G17" s="16" t="str">
        <x:v>Builds the operating discipline expected from a senior SP engineer.</x:v>
      </x:c>
      <x:c r="H17" s="58"/>
    </x:row>
    <x:row r="18" ht="96" hidden="0" customHeight="1">
      <x:c r="A18" s="30" t="str">
        <x:v>14. Automation &amp; Programmability</x:v>
      </x:c>
      <x:c r="B18" s="16" t="str">
        <x:v>Automate provisioning, validation and compliance</x:v>
      </x:c>
      <x:c r="C18" s="16" t="str">
        <x:v>Use YANG APIs, Python/Ansible and CI-style pre/post checks safely</x:v>
      </x:c>
      <x:c r="D18" s="16" t="n">
        <x:v>10</x:v>
      </x:c>
      <x:c r="E18" s="16" t="n">
        <x:v>44</x:v>
      </x:c>
      <x:c r="F18" s="16" t="str">
        <x:v>4–5</x:v>
      </x:c>
      <x:c r="G18" s="16" t="str">
        <x:v>Builds the operating discipline expected from a senior SP engineer.</x:v>
      </x:c>
      <x:c r="H18" s="58"/>
    </x:row>
    <x:row r="19" ht="84" hidden="0" customHeight="1">
      <x:c r="A19" s="31" t="str">
        <x:v>15. Design, Migration &amp; Expert Integration</x:v>
      </x:c>
      <x:c r="B19" s="17" t="str">
        <x:v>Integrate technologies under constraints and timed pressure</x:v>
      </x:c>
      <x:c r="C19" s="17" t="str">
        <x:v>Complete mixed-fault scenarios and defend design/change decisions</x:v>
      </x:c>
      <x:c r="D19" s="17" t="n">
        <x:v>12</x:v>
      </x:c>
      <x:c r="E19" s="17" t="n">
        <x:v>72</x:v>
      </x:c>
      <x:c r="F19" s="17" t="str">
        <x:v>6–8</x:v>
      </x:c>
      <x:c r="G19" s="17" t="str">
        <x:v>Builds the operating discipline expected from a senior SP engineer.</x:v>
      </x:c>
      <x:c r="H19" s="58"/>
    </x:row>
  </x:sheetData>
  <x:mergeCells>
    <x:mergeCell ref="A1:G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9" hidden="0" customWidth="1"/>
    <x:col min="3" max="3" width="30" hidden="0" customWidth="1"/>
    <x:col min="4" max="4" width="40" hidden="0" customWidth="1"/>
    <x:col min="5" max="5" width="48" hidden="0" customWidth="1"/>
    <x:col min="6" max="6" width="27" hidden="0" customWidth="1"/>
    <x:col min="7" max="7" width="10" hidden="0" customWidth="1"/>
    <x:col min="8" max="8" width="14" hidden="0" customWidth="1"/>
    <x:col min="9" max="9" width="13" hidden="0" customWidth="1"/>
    <x:col min="10" max="10" width="13" hidden="0" customWidth="1"/>
    <x:col min="11" max="11" width="15" hidden="0" customWidth="1"/>
    <x:col min="12" max="12" width="16" hidden="0" customWidth="1"/>
    <x:col min="13" max="13" width="26" hidden="0" customWidth="1"/>
    <x:col min="14" max="14" width="15" hidden="0" customWidth="1"/>
    <x:col min="15" max="15" width="48" hidden="0" customWidth="1"/>
    <x:col min="16" max="16" width="36" hidden="0" customWidth="1"/>
    <x:col min="17" max="17" width="12" hidden="0" customWidth="1"/>
  </x:cols>
  <x:sheetData>
    <x:row r="1" ht="34" customHeight="1">
      <x:c r="A1" s="56" t="str">
        <x:v>Lab Checklist</x:v>
      </x:c>
      <x:c r="B1" s="56"/>
      <x:c r="C1" s="56"/>
      <x:c r="D1" s="56"/>
      <x:c r="E1" s="56"/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</x:row>
    <x:row r="2" ht="30" customHeight="1">
      <x:c r="A2" s="57" t="str">
        <x:v>Editable columns: Status, Confidence, Evidence Link/Folder, Completed Date, Notes/Gap</x:v>
      </x:c>
      <x:c r="B2" s="57" t="str">
        <x:v>Editable columns: Status, Confidence, Evidence Link/Folder, Completed Date, Notes/Gap</x:v>
      </x:c>
      <x:c r="C2" s="57" t="str">
        <x:v>Editable columns: Status, Confidence, Evidence Link/Folder, Completed Date, Notes/Gap</x:v>
      </x:c>
      <x:c r="D2" s="57" t="str">
        <x:v>Editable columns: Status, Confidence, Evidence Link/Folder, Completed Date, Notes/Gap</x:v>
      </x:c>
      <x:c r="E2" s="57" t="str">
        <x:v>Editable columns: Status, Confidence, Evidence Link/Folder, Completed Date, Notes/Gap</x:v>
      </x:c>
      <x:c r="F2" s="57" t="str">
        <x:v>Editable columns: Status, Confidence, Evidence Link/Folder, Completed Date, Notes/Gap</x:v>
      </x:c>
      <x:c r="G2" s="57" t="str">
        <x:v>Editable columns: Status, Confidence, Evidence Link/Folder, Completed Date, Notes/Gap</x:v>
      </x:c>
      <x:c r="H2" s="57" t="str">
        <x:v>Editable columns: Status, Confidence, Evidence Link/Folder, Completed Date, Notes/Gap</x:v>
      </x:c>
      <x:c r="I2" s="58"/>
      <x:c r="J2" s="58"/>
      <x:c r="K2" s="58"/>
      <x:c r="L2" s="58"/>
      <x:c r="M2" s="58"/>
      <x:c r="N2" s="58"/>
      <x:c r="O2" s="58"/>
      <x:c r="P2" s="58"/>
      <x:c r="Q2" s="58"/>
    </x:row>
    <x:row r="3">
      <x:c r="A3" s="58"/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  <x:c r="P3" s="58"/>
      <x:c r="Q3" s="58"/>
    </x:row>
    <x:row r="4" ht="30" customHeight="1">
      <x:c r="A4" s="60" t="str">
        <x:v>Lab ID</x:v>
      </x:c>
      <x:c r="B4" s="61" t="str">
        <x:v>Phase #</x:v>
      </x:c>
      <x:c r="C4" s="61" t="str">
        <x:v>Phase / Domain</x:v>
      </x:c>
      <x:c r="D4" s="61" t="str">
        <x:v>Lab / Scenario</x:v>
      </x:c>
      <x:c r="E4" s="61" t="str">
        <x:v>Mastery Outcome</x:v>
      </x:c>
      <x:c r="F4" s="61" t="str">
        <x:v>Suggested Topology</x:v>
      </x:c>
      <x:c r="G4" s="61" t="str">
        <x:v>Est. Hours</x:v>
      </x:c>
      <x:c r="H4" s="61" t="str">
        <x:v>Difficulty</x:v>
      </x:c>
      <x:c r="I4" s="61" t="str">
        <x:v>Priority</x:v>
      </x:c>
      <x:c r="J4" s="61" t="str">
        <x:v>Dependency</x:v>
      </x:c>
      <x:c r="K4" s="61" t="str">
        <x:v>Status</x:v>
      </x:c>
      <x:c r="L4" s="61" t="str">
        <x:v>Confidence (0–5)</x:v>
      </x:c>
      <x:c r="M4" s="61" t="str">
        <x:v>Evidence Link/Folder</x:v>
      </x:c>
      <x:c r="N4" s="61" t="str">
        <x:v>Completed Date</x:v>
      </x:c>
      <x:c r="O4" s="61" t="str">
        <x:v>Required Evidence</x:v>
      </x:c>
      <x:c r="P4" s="61" t="str">
        <x:v>Notes/Gap</x:v>
      </x:c>
      <x:c r="Q4" s="62" t="str">
        <x:v>Track</x:v>
      </x:c>
    </x:row>
    <x:row r="5" ht="132" hidden="0" customHeight="1">
      <x:c r="A5" s="15" t="str">
        <x:v>LAB-001</x:v>
      </x:c>
      <x:c r="B5" s="15" t="n">
        <x:v>1</x:v>
      </x:c>
      <x:c r="C5" s="15" t="str">
        <x:v>IOS XR &amp; SP Foundations</x:v>
      </x:c>
      <x:c r="D5" s="15" t="str">
        <x:v>IOS XR CLI hierarchy and configuration commits</x:v>
      </x:c>
      <x:c r="E5" s="15" t="str">
        <x:v>Configure, explain, verify, break, and restore ios xr cli hierarchy and configuration commits on IOS XR.</x:v>
      </x:c>
      <x:c r="F5" s="15" t="str">
        <x:v>2–3 XR nodes</x:v>
      </x:c>
      <x:c r="G5" s="15" t="n">
        <x:v>2</x:v>
      </x:c>
      <x:c r="H5" s="15" t="str">
        <x:v>Foundation</x:v>
      </x:c>
      <x:c r="I5" s="15" t="str">
        <x:v>Core</x:v>
      </x:c>
      <x:c r="J5" s="15" t="str"/>
      <x:c r="K5" s="15" t="str">
        <x:v>Not Started</x:v>
      </x:c>
      <x:c r="L5" s="15" t="n">
        <x:v>0</x:v>
      </x:c>
      <x:c r="M5" s="15" t="str"/>
      <x:c r="N5" s="32" t="str"/>
      <x:c r="O5" s="15" t="str">
        <x:v>Configs; control-plane output; forwarding/traffic proof; fault + root cause; pre/post/rollback</x:v>
      </x:c>
      <x:c r="P5" s="15" t="str"/>
      <x:c r="Q5" s="15" t="str">
        <x:v>Phase 1</x:v>
      </x:c>
    </x:row>
    <x:row r="6" ht="132" hidden="0" customHeight="1">
      <x:c r="A6" s="16" t="str">
        <x:v>LAB-002</x:v>
      </x:c>
      <x:c r="B6" s="16" t="n">
        <x:v>1</x:v>
      </x:c>
      <x:c r="C6" s="16" t="str">
        <x:v>IOS XR &amp; SP Foundations</x:v>
      </x:c>
      <x:c r="D6" s="16" t="str">
        <x:v>Commit confirmed, rollback and configuration replace</x:v>
      </x:c>
      <x:c r="E6" s="16" t="str">
        <x:v>Configure, explain, verify, break, and restore commit confirmed, rollback and configuration replace on IOS XR.</x:v>
      </x:c>
      <x:c r="F6" s="16" t="str">
        <x:v>2–3 XR nodes</x:v>
      </x:c>
      <x:c r="G6" s="16" t="n">
        <x:v>2</x:v>
      </x:c>
      <x:c r="H6" s="16" t="str">
        <x:v>Foundation</x:v>
      </x:c>
      <x:c r="I6" s="16" t="str">
        <x:v>Recommended</x:v>
      </x:c>
      <x:c r="J6" s="16" t="str">
        <x:v>LAB-001</x:v>
      </x:c>
      <x:c r="K6" s="16" t="str">
        <x:v>Not Started</x:v>
      </x:c>
      <x:c r="L6" s="16" t="n">
        <x:v>0</x:v>
      </x:c>
      <x:c r="M6" s="16" t="str"/>
      <x:c r="N6" s="33" t="str"/>
      <x:c r="O6" s="16" t="str">
        <x:v>Configs; control-plane output; forwarding/traffic proof; fault + root cause; pre/post/rollback</x:v>
      </x:c>
      <x:c r="P6" s="16" t="str"/>
      <x:c r="Q6" s="16" t="str">
        <x:v>Phase 1</x:v>
      </x:c>
    </x:row>
    <x:row r="7" ht="132" hidden="0" customHeight="1">
      <x:c r="A7" s="16" t="str">
        <x:v>LAB-003</x:v>
      </x:c>
      <x:c r="B7" s="16" t="n">
        <x:v>1</x:v>
      </x:c>
      <x:c r="C7" s="16" t="str">
        <x:v>IOS XR &amp; SP Foundations</x:v>
      </x:c>
      <x:c r="D7" s="16" t="str">
        <x:v>Interface addressing, MTU and link-state validation</x:v>
      </x:c>
      <x:c r="E7" s="16" t="str">
        <x:v>Configure, explain, verify, break, and restore interface addressing, mtu and link-state validation on IOS XR.</x:v>
      </x:c>
      <x:c r="F7" s="16" t="str">
        <x:v>2–3 XR nodes</x:v>
      </x:c>
      <x:c r="G7" s="16" t="n">
        <x:v>2</x:v>
      </x:c>
      <x:c r="H7" s="16" t="str">
        <x:v>Foundation</x:v>
      </x:c>
      <x:c r="I7" s="16" t="str">
        <x:v>Recommended</x:v>
      </x:c>
      <x:c r="J7" s="16" t="str">
        <x:v>LAB-002</x:v>
      </x:c>
      <x:c r="K7" s="16" t="str">
        <x:v>Not Started</x:v>
      </x:c>
      <x:c r="L7" s="16" t="n">
        <x:v>0</x:v>
      </x:c>
      <x:c r="M7" s="16" t="str"/>
      <x:c r="N7" s="33" t="str"/>
      <x:c r="O7" s="16" t="str">
        <x:v>Configs; control-plane output; forwarding/traffic proof; fault + root cause; pre/post/rollback</x:v>
      </x:c>
      <x:c r="P7" s="16" t="str"/>
      <x:c r="Q7" s="16" t="str">
        <x:v>Phase 1</x:v>
      </x:c>
    </x:row>
    <x:row r="8" ht="132" hidden="0" customHeight="1">
      <x:c r="A8" s="16" t="str">
        <x:v>LAB-004</x:v>
      </x:c>
      <x:c r="B8" s="16" t="n">
        <x:v>1</x:v>
      </x:c>
      <x:c r="C8" s="16" t="str">
        <x:v>IOS XR &amp; SP Foundations</x:v>
      </x:c>
      <x:c r="D8" s="16" t="str">
        <x:v>Bundle-Ether with LACP and minimum-active links</x:v>
      </x:c>
      <x:c r="E8" s="16" t="str">
        <x:v>Configure, explain, verify, break, and restore bundle-ether with lacp and minimum-active links on IOS XR.</x:v>
      </x:c>
      <x:c r="F8" s="16" t="str">
        <x:v>2–3 XR nodes</x:v>
      </x:c>
      <x:c r="G8" s="16" t="n">
        <x:v>3</x:v>
      </x:c>
      <x:c r="H8" s="16" t="str">
        <x:v>Intermediate</x:v>
      </x:c>
      <x:c r="I8" s="16" t="str">
        <x:v>Core</x:v>
      </x:c>
      <x:c r="J8" s="16" t="str">
        <x:v>LAB-003</x:v>
      </x:c>
      <x:c r="K8" s="16" t="str">
        <x:v>Not Started</x:v>
      </x:c>
      <x:c r="L8" s="16" t="n">
        <x:v>0</x:v>
      </x:c>
      <x:c r="M8" s="16" t="str"/>
      <x:c r="N8" s="33" t="str"/>
      <x:c r="O8" s="16" t="str">
        <x:v>Configs; control-plane output; forwarding/traffic proof; fault + root cause; pre/post/rollback</x:v>
      </x:c>
      <x:c r="P8" s="16" t="str"/>
      <x:c r="Q8" s="16" t="str">
        <x:v>Phase 1</x:v>
      </x:c>
    </x:row>
    <x:row r="9" ht="108" hidden="0" customHeight="1">
      <x:c r="A9" s="16" t="str">
        <x:v>LAB-005</x:v>
      </x:c>
      <x:c r="B9" s="16" t="n">
        <x:v>1</x:v>
      </x:c>
      <x:c r="C9" s="16" t="str">
        <x:v>IOS XR &amp; SP Foundations</x:v>
      </x:c>
      <x:c r="D9" s="16" t="str">
        <x:v>VRF, RIB, CEF and recursive resolution</x:v>
      </x:c>
      <x:c r="E9" s="16" t="str">
        <x:v>Configure, explain, verify, break, and restore vrf, rib, cef and recursive resolution on IOS XR.</x:v>
      </x:c>
      <x:c r="F9" s="16" t="str">
        <x:v>2–3 XR nodes</x:v>
      </x:c>
      <x:c r="G9" s="16" t="n">
        <x:v>3</x:v>
      </x:c>
      <x:c r="H9" s="16" t="str">
        <x:v>Intermediate</x:v>
      </x:c>
      <x:c r="I9" s="16" t="str">
        <x:v>Recommended</x:v>
      </x:c>
      <x:c r="J9" s="16" t="str">
        <x:v>LAB-004</x:v>
      </x:c>
      <x:c r="K9" s="16" t="str">
        <x:v>Not Started</x:v>
      </x:c>
      <x:c r="L9" s="16" t="n">
        <x:v>0</x:v>
      </x:c>
      <x:c r="M9" s="16" t="str"/>
      <x:c r="N9" s="33" t="str"/>
      <x:c r="O9" s="16" t="str">
        <x:v>Configs; control-plane output; forwarding/traffic proof; fault + root cause; pre/post/rollback</x:v>
      </x:c>
      <x:c r="P9" s="16" t="str"/>
      <x:c r="Q9" s="16" t="str">
        <x:v>Phase 1</x:v>
      </x:c>
    </x:row>
    <x:row r="10" ht="120" hidden="0" customHeight="1">
      <x:c r="A10" s="16" t="str">
        <x:v>LAB-006</x:v>
      </x:c>
      <x:c r="B10" s="16" t="n">
        <x:v>1</x:v>
      </x:c>
      <x:c r="C10" s="16" t="str">
        <x:v>IOS XR &amp; SP Foundations</x:v>
      </x:c>
      <x:c r="D10" s="16" t="str">
        <x:v>Route-policy language fundamentals</x:v>
      </x:c>
      <x:c r="E10" s="16" t="str">
        <x:v>Configure, explain, verify, break, and restore route-policy language fundamentals on IOS XR.</x:v>
      </x:c>
      <x:c r="F10" s="16" t="str">
        <x:v>2–3 XR nodes</x:v>
      </x:c>
      <x:c r="G10" s="16" t="n">
        <x:v>3</x:v>
      </x:c>
      <x:c r="H10" s="16" t="str">
        <x:v>Intermediate</x:v>
      </x:c>
      <x:c r="I10" s="16" t="str">
        <x:v>Recommended</x:v>
      </x:c>
      <x:c r="J10" s="16" t="str">
        <x:v>LAB-005</x:v>
      </x:c>
      <x:c r="K10" s="16" t="str">
        <x:v>Not Started</x:v>
      </x:c>
      <x:c r="L10" s="16" t="n">
        <x:v>0</x:v>
      </x:c>
      <x:c r="M10" s="16" t="str"/>
      <x:c r="N10" s="33" t="str"/>
      <x:c r="O10" s="16" t="str">
        <x:v>Configs; control-plane output; forwarding/traffic proof; fault + root cause; pre/post/rollback</x:v>
      </x:c>
      <x:c r="P10" s="16" t="str"/>
      <x:c r="Q10" s="16" t="str">
        <x:v>Phase 1</x:v>
      </x:c>
    </x:row>
    <x:row r="11" ht="120" hidden="0" customHeight="1">
      <x:c r="A11" s="16" t="str">
        <x:v>LAB-007</x:v>
      </x:c>
      <x:c r="B11" s="16" t="n">
        <x:v>1</x:v>
      </x:c>
      <x:c r="C11" s="16" t="str">
        <x:v>IOS XR &amp; SP Foundations</x:v>
      </x:c>
      <x:c r="D11" s="16" t="str">
        <x:v>Management VRF, SSH, AAA and file operations</x:v>
      </x:c>
      <x:c r="E11" s="16" t="str">
        <x:v>Configure, explain, verify, break, and restore management vrf, ssh, aaa and file operations on IOS XR.</x:v>
      </x:c>
      <x:c r="F11" s="16" t="str">
        <x:v>2–3 XR nodes</x:v>
      </x:c>
      <x:c r="G11" s="16" t="n">
        <x:v>3</x:v>
      </x:c>
      <x:c r="H11" s="16" t="str">
        <x:v>Intermediate</x:v>
      </x:c>
      <x:c r="I11" s="16" t="str">
        <x:v>Core</x:v>
      </x:c>
      <x:c r="J11" s="16" t="str">
        <x:v>LAB-006</x:v>
      </x:c>
      <x:c r="K11" s="16" t="str">
        <x:v>Not Started</x:v>
      </x:c>
      <x:c r="L11" s="16" t="n">
        <x:v>0</x:v>
      </x:c>
      <x:c r="M11" s="16" t="str"/>
      <x:c r="N11" s="33" t="str"/>
      <x:c r="O11" s="16" t="str">
        <x:v>Configs; control-plane output; forwarding/traffic proof; fault + root cause; pre/post/rollback</x:v>
      </x:c>
      <x:c r="P11" s="16" t="str"/>
      <x:c r="Q11" s="16" t="str">
        <x:v>Phase 1</x:v>
      </x:c>
    </x:row>
    <x:row r="12" ht="108" hidden="0" customHeight="1">
      <x:c r="A12" s="16" t="str">
        <x:v>LAB-008</x:v>
      </x:c>
      <x:c r="B12" s="16" t="n">
        <x:v>2</x:v>
      </x:c>
      <x:c r="C12" s="16" t="str">
        <x:v>Dual-Stack IGP Engineering</x:v>
      </x:c>
      <x:c r="D12" s="16" t="str">
        <x:v>IS-IS L2 single-area dual stack</x:v>
      </x:c>
      <x:c r="E12" s="16" t="str">
        <x:v>Configure, explain, verify, break, and restore is-is l2 single-area dual stack on IOS XR.</x:v>
      </x:c>
      <x:c r="F12" s="16" t="str">
        <x:v>4–6 XR nodes</x:v>
      </x:c>
      <x:c r="G12" s="16" t="n">
        <x:v>2</x:v>
      </x:c>
      <x:c r="H12" s="16" t="str">
        <x:v>Foundation</x:v>
      </x:c>
      <x:c r="I12" s="16" t="str">
        <x:v>Core</x:v>
      </x:c>
      <x:c r="J12" s="16" t="str"/>
      <x:c r="K12" s="16" t="str">
        <x:v>Not Started</x:v>
      </x:c>
      <x:c r="L12" s="16" t="n">
        <x:v>0</x:v>
      </x:c>
      <x:c r="M12" s="16" t="str"/>
      <x:c r="N12" s="33" t="str"/>
      <x:c r="O12" s="16" t="str">
        <x:v>Configs; control-plane output; forwarding/traffic proof; fault + root cause; pre/post/rollback</x:v>
      </x:c>
      <x:c r="P12" s="16" t="str"/>
      <x:c r="Q12" s="16" t="str">
        <x:v>Phase 2</x:v>
      </x:c>
    </x:row>
    <x:row r="13" ht="132" hidden="0" customHeight="1">
      <x:c r="A13" s="16" t="str">
        <x:v>LAB-009</x:v>
      </x:c>
      <x:c r="B13" s="16" t="n">
        <x:v>2</x:v>
      </x:c>
      <x:c r="C13" s="16" t="str">
        <x:v>Dual-Stack IGP Engineering</x:v>
      </x:c>
      <x:c r="D13" s="16" t="str">
        <x:v>IS-IS L1/L2 hierarchy and attached-bit behavior</x:v>
      </x:c>
      <x:c r="E13" s="16" t="str">
        <x:v>Configure, explain, verify, break, and restore is-is l1/l2 hierarchy and attached-bit behavior on IOS XR.</x:v>
      </x:c>
      <x:c r="F13" s="16" t="str">
        <x:v>4–6 XR nodes</x:v>
      </x:c>
      <x:c r="G13" s="16" t="n">
        <x:v>2</x:v>
      </x:c>
      <x:c r="H13" s="16" t="str">
        <x:v>Foundation</x:v>
      </x:c>
      <x:c r="I13" s="16" t="str">
        <x:v>Recommended</x:v>
      </x:c>
      <x:c r="J13" s="16" t="str">
        <x:v>LAB-008</x:v>
      </x:c>
      <x:c r="K13" s="16" t="str">
        <x:v>Not Started</x:v>
      </x:c>
      <x:c r="L13" s="16" t="n">
        <x:v>0</x:v>
      </x:c>
      <x:c r="M13" s="16" t="str"/>
      <x:c r="N13" s="33" t="str"/>
      <x:c r="O13" s="16" t="str">
        <x:v>Configs; control-plane output; forwarding/traffic proof; fault + root cause; pre/post/rollback</x:v>
      </x:c>
      <x:c r="P13" s="16" t="str"/>
      <x:c r="Q13" s="16" t="str">
        <x:v>Phase 2</x:v>
      </x:c>
    </x:row>
    <x:row r="14" ht="120" hidden="0" customHeight="1">
      <x:c r="A14" s="16" t="str">
        <x:v>LAB-010</x:v>
      </x:c>
      <x:c r="B14" s="16" t="n">
        <x:v>2</x:v>
      </x:c>
      <x:c r="C14" s="16" t="str">
        <x:v>Dual-Stack IGP Engineering</x:v>
      </x:c>
      <x:c r="D14" s="16" t="str">
        <x:v>IS-IS DIS election, pseudonode and LAN tuning</x:v>
      </x:c>
      <x:c r="E14" s="16" t="str">
        <x:v>Configure, explain, verify, break, and restore is-is dis election, pseudonode and lan tuning on IOS XR.</x:v>
      </x:c>
      <x:c r="F14" s="16" t="str">
        <x:v>4–6 XR nodes</x:v>
      </x:c>
      <x:c r="G14" s="16" t="n">
        <x:v>2</x:v>
      </x:c>
      <x:c r="H14" s="16" t="str">
        <x:v>Foundation</x:v>
      </x:c>
      <x:c r="I14" s="16" t="str">
        <x:v>Recommended</x:v>
      </x:c>
      <x:c r="J14" s="16" t="str">
        <x:v>LAB-009</x:v>
      </x:c>
      <x:c r="K14" s="16" t="str">
        <x:v>Not Started</x:v>
      </x:c>
      <x:c r="L14" s="16" t="n">
        <x:v>0</x:v>
      </x:c>
      <x:c r="M14" s="16" t="str"/>
      <x:c r="N14" s="33" t="str"/>
      <x:c r="O14" s="16" t="str">
        <x:v>Configs; control-plane output; forwarding/traffic proof; fault + root cause; pre/post/rollback</x:v>
      </x:c>
      <x:c r="P14" s="16" t="str"/>
      <x:c r="Q14" s="16" t="str">
        <x:v>Phase 2</x:v>
      </x:c>
    </x:row>
    <x:row r="15" ht="108" hidden="0" customHeight="1">
      <x:c r="A15" s="16" t="str">
        <x:v>LAB-011</x:v>
      </x:c>
      <x:c r="B15" s="16" t="n">
        <x:v>2</x:v>
      </x:c>
      <x:c r="C15" s="16" t="str">
        <x:v>Dual-Stack IGP Engineering</x:v>
      </x:c>
      <x:c r="D15" s="16" t="str">
        <x:v>IS-IS wide metrics and overload bit</x:v>
      </x:c>
      <x:c r="E15" s="16" t="str">
        <x:v>Configure, explain, verify, break, and restore is-is wide metrics and overload bit on IOS XR.</x:v>
      </x:c>
      <x:c r="F15" s="16" t="str">
        <x:v>4–6 XR nodes</x:v>
      </x:c>
      <x:c r="G15" s="16" t="n">
        <x:v>3</x:v>
      </x:c>
      <x:c r="H15" s="16" t="str">
        <x:v>Intermediate</x:v>
      </x:c>
      <x:c r="I15" s="16" t="str">
        <x:v>Core</x:v>
      </x:c>
      <x:c r="J15" s="16" t="str">
        <x:v>LAB-010</x:v>
      </x:c>
      <x:c r="K15" s="16" t="str">
        <x:v>Not Started</x:v>
      </x:c>
      <x:c r="L15" s="16" t="n">
        <x:v>0</x:v>
      </x:c>
      <x:c r="M15" s="16" t="str"/>
      <x:c r="N15" s="33" t="str"/>
      <x:c r="O15" s="16" t="str">
        <x:v>Configs; control-plane output; forwarding/traffic proof; fault + root cause; pre/post/rollback</x:v>
      </x:c>
      <x:c r="P15" s="16" t="str"/>
      <x:c r="Q15" s="16" t="str">
        <x:v>Phase 2</x:v>
      </x:c>
    </x:row>
    <x:row r="16" ht="120" hidden="0" customHeight="1">
      <x:c r="A16" s="16" t="str">
        <x:v>LAB-012</x:v>
      </x:c>
      <x:c r="B16" s="16" t="n">
        <x:v>2</x:v>
      </x:c>
      <x:c r="C16" s="16" t="str">
        <x:v>Dual-Stack IGP Engineering</x:v>
      </x:c>
      <x:c r="D16" s="16" t="str">
        <x:v>IS-IS route leaking and summarization</x:v>
      </x:c>
      <x:c r="E16" s="16" t="str">
        <x:v>Configure, explain, verify, break, and restore is-is route leaking and summarization on IOS XR.</x:v>
      </x:c>
      <x:c r="F16" s="16" t="str">
        <x:v>4–6 XR nodes</x:v>
      </x:c>
      <x:c r="G16" s="16" t="n">
        <x:v>3</x:v>
      </x:c>
      <x:c r="H16" s="16" t="str">
        <x:v>Intermediate</x:v>
      </x:c>
      <x:c r="I16" s="16" t="str">
        <x:v>Recommended</x:v>
      </x:c>
      <x:c r="J16" s="16" t="str">
        <x:v>LAB-011</x:v>
      </x:c>
      <x:c r="K16" s="16" t="str">
        <x:v>Not Started</x:v>
      </x:c>
      <x:c r="L16" s="16" t="n">
        <x:v>0</x:v>
      </x:c>
      <x:c r="M16" s="16" t="str"/>
      <x:c r="N16" s="33" t="str"/>
      <x:c r="O16" s="16" t="str">
        <x:v>Configs; control-plane output; forwarding/traffic proof; fault + root cause; pre/post/rollback</x:v>
      </x:c>
      <x:c r="P16" s="16" t="str"/>
      <x:c r="Q16" s="16" t="str">
        <x:v>Phase 2</x:v>
      </x:c>
    </x:row>
    <x:row r="17" ht="120" hidden="0" customHeight="1">
      <x:c r="A17" s="16" t="str">
        <x:v>LAB-013</x:v>
      </x:c>
      <x:c r="B17" s="16" t="n">
        <x:v>2</x:v>
      </x:c>
      <x:c r="C17" s="16" t="str">
        <x:v>Dual-Stack IGP Engineering</x:v>
      </x:c>
      <x:c r="D17" s="16" t="str">
        <x:v>IS-IS authentication and adjacency faults</x:v>
      </x:c>
      <x:c r="E17" s="16" t="str">
        <x:v>Configure, explain, verify, break, and restore is-is authentication and adjacency faults on IOS XR.</x:v>
      </x:c>
      <x:c r="F17" s="16" t="str">
        <x:v>4–6 XR nodes</x:v>
      </x:c>
      <x:c r="G17" s="16" t="n">
        <x:v>3</x:v>
      </x:c>
      <x:c r="H17" s="16" t="str">
        <x:v>Intermediate</x:v>
      </x:c>
      <x:c r="I17" s="16" t="str">
        <x:v>Recommended</x:v>
      </x:c>
      <x:c r="J17" s="16" t="str">
        <x:v>LAB-012</x:v>
      </x:c>
      <x:c r="K17" s="16" t="str">
        <x:v>Not Started</x:v>
      </x:c>
      <x:c r="L17" s="16" t="n">
        <x:v>0</x:v>
      </x:c>
      <x:c r="M17" s="16" t="str"/>
      <x:c r="N17" s="33" t="str"/>
      <x:c r="O17" s="16" t="str">
        <x:v>Configs; control-plane output; forwarding/traffic proof; fault + root cause; pre/post/rollback</x:v>
      </x:c>
      <x:c r="P17" s="16" t="str"/>
      <x:c r="Q17" s="16" t="str">
        <x:v>Phase 2</x:v>
      </x:c>
    </x:row>
    <x:row r="18" ht="120" hidden="0" customHeight="1">
      <x:c r="A18" s="16" t="str">
        <x:v>LAB-014</x:v>
      </x:c>
      <x:c r="B18" s="16" t="n">
        <x:v>2</x:v>
      </x:c>
      <x:c r="C18" s="16" t="str">
        <x:v>Dual-Stack IGP Engineering</x:v>
      </x:c>
      <x:c r="D18" s="16" t="str">
        <x:v>OSPFv2 multi-area and ABR behavior</x:v>
      </x:c>
      <x:c r="E18" s="16" t="str">
        <x:v>Configure, explain, verify, break, and restore ospfv2 multi-area and abr behavior on IOS XR.</x:v>
      </x:c>
      <x:c r="F18" s="16" t="str">
        <x:v>4–6 XR nodes</x:v>
      </x:c>
      <x:c r="G18" s="16" t="n">
        <x:v>3</x:v>
      </x:c>
      <x:c r="H18" s="16" t="str">
        <x:v>Intermediate</x:v>
      </x:c>
      <x:c r="I18" s="16" t="str">
        <x:v>Core</x:v>
      </x:c>
      <x:c r="J18" s="16" t="str">
        <x:v>LAB-013</x:v>
      </x:c>
      <x:c r="K18" s="16" t="str">
        <x:v>Not Started</x:v>
      </x:c>
      <x:c r="L18" s="16" t="n">
        <x:v>0</x:v>
      </x:c>
      <x:c r="M18" s="16" t="str"/>
      <x:c r="N18" s="33" t="str"/>
      <x:c r="O18" s="16" t="str">
        <x:v>Configs; control-plane output; forwarding/traffic proof; fault + root cause; pre/post/rollback</x:v>
      </x:c>
      <x:c r="P18" s="16" t="str"/>
      <x:c r="Q18" s="16" t="str">
        <x:v>Phase 2</x:v>
      </x:c>
    </x:row>
    <x:row r="19" ht="120" hidden="0" customHeight="1">
      <x:c r="A19" s="16" t="str">
        <x:v>LAB-015</x:v>
      </x:c>
      <x:c r="B19" s="16" t="n">
        <x:v>2</x:v>
      </x:c>
      <x:c r="C19" s="16" t="str">
        <x:v>Dual-Stack IGP Engineering</x:v>
      </x:c>
      <x:c r="D19" s="16" t="str">
        <x:v>OSPFv3 dual-stack address families</x:v>
      </x:c>
      <x:c r="E19" s="16" t="str">
        <x:v>Configure, explain, verify, break, and restore ospfv3 dual-stack address families on IOS XR.</x:v>
      </x:c>
      <x:c r="F19" s="16" t="str">
        <x:v>4–6 XR nodes</x:v>
      </x:c>
      <x:c r="G19" s="16" t="n">
        <x:v>3</x:v>
      </x:c>
      <x:c r="H19" s="16" t="str">
        <x:v>Intermediate</x:v>
      </x:c>
      <x:c r="I19" s="16" t="str">
        <x:v>Recommended</x:v>
      </x:c>
      <x:c r="J19" s="16" t="str">
        <x:v>LAB-014</x:v>
      </x:c>
      <x:c r="K19" s="16" t="str">
        <x:v>Not Started</x:v>
      </x:c>
      <x:c r="L19" s="16" t="n">
        <x:v>0</x:v>
      </x:c>
      <x:c r="M19" s="16" t="str"/>
      <x:c r="N19" s="33" t="str"/>
      <x:c r="O19" s="16" t="str">
        <x:v>Configs; control-plane output; forwarding/traffic proof; fault + root cause; pre/post/rollback</x:v>
      </x:c>
      <x:c r="P19" s="16" t="str"/>
      <x:c r="Q19" s="16" t="str">
        <x:v>Phase 2</x:v>
      </x:c>
    </x:row>
    <x:row r="20" ht="120" hidden="0" customHeight="1">
      <x:c r="A20" s="16" t="str">
        <x:v>LAB-016</x:v>
      </x:c>
      <x:c r="B20" s="16" t="n">
        <x:v>2</x:v>
      </x:c>
      <x:c r="C20" s="16" t="str">
        <x:v>Dual-Stack IGP Engineering</x:v>
      </x:c>
      <x:c r="D20" s="16" t="str">
        <x:v>OSPF network types and DR/BDR behavior</x:v>
      </x:c>
      <x:c r="E20" s="16" t="str">
        <x:v>Configure, explain, verify, break, and restore ospf network types and dr/bdr behavior on IOS XR.</x:v>
      </x:c>
      <x:c r="F20" s="16" t="str">
        <x:v>4–6 XR nodes</x:v>
      </x:c>
      <x:c r="G20" s="16" t="n">
        <x:v>3</x:v>
      </x:c>
      <x:c r="H20" s="16" t="str">
        <x:v>Intermediate</x:v>
      </x:c>
      <x:c r="I20" s="16" t="str">
        <x:v>Recommended</x:v>
      </x:c>
      <x:c r="J20" s="16" t="str">
        <x:v>LAB-015</x:v>
      </x:c>
      <x:c r="K20" s="16" t="str">
        <x:v>Not Started</x:v>
      </x:c>
      <x:c r="L20" s="16" t="n">
        <x:v>0</x:v>
      </x:c>
      <x:c r="M20" s="16" t="str"/>
      <x:c r="N20" s="33" t="str"/>
      <x:c r="O20" s="16" t="str">
        <x:v>Configs; control-plane output; forwarding/traffic proof; fault + root cause; pre/post/rollback</x:v>
      </x:c>
      <x:c r="P20" s="16" t="str"/>
      <x:c r="Q20" s="16" t="str">
        <x:v>Phase 2</x:v>
      </x:c>
    </x:row>
    <x:row r="21" ht="120" hidden="0" customHeight="1">
      <x:c r="A21" s="16" t="str">
        <x:v>LAB-017</x:v>
      </x:c>
      <x:c r="B21" s="16" t="n">
        <x:v>2</x:v>
      </x:c>
      <x:c r="C21" s="16" t="str">
        <x:v>Dual-Stack IGP Engineering</x:v>
      </x:c>
      <x:c r="D21" s="16" t="str">
        <x:v>OSPF summarization, filtering and default origination</x:v>
      </x:c>
      <x:c r="E21" s="16" t="str">
        <x:v>Configure, explain, verify, break, and restore ospf summarization, filtering and default origination on IOS XR.</x:v>
      </x:c>
      <x:c r="F21" s="16" t="str">
        <x:v>4–6 XR nodes</x:v>
      </x:c>
      <x:c r="G21" s="16" t="n">
        <x:v>3</x:v>
      </x:c>
      <x:c r="H21" s="16" t="str">
        <x:v>Intermediate</x:v>
      </x:c>
      <x:c r="I21" s="16" t="str">
        <x:v>Core</x:v>
      </x:c>
      <x:c r="J21" s="16" t="str">
        <x:v>LAB-016</x:v>
      </x:c>
      <x:c r="K21" s="16" t="str">
        <x:v>Not Started</x:v>
      </x:c>
      <x:c r="L21" s="16" t="n">
        <x:v>0</x:v>
      </x:c>
      <x:c r="M21" s="16" t="str"/>
      <x:c r="N21" s="33" t="str"/>
      <x:c r="O21" s="16" t="str">
        <x:v>Configs; control-plane output; forwarding/traffic proof; fault + root cause; pre/post/rollback</x:v>
      </x:c>
      <x:c r="P21" s="16" t="str"/>
      <x:c r="Q21" s="16" t="str">
        <x:v>Phase 2</x:v>
      </x:c>
    </x:row>
    <x:row r="22" ht="108" hidden="0" customHeight="1">
      <x:c r="A22" s="16" t="str">
        <x:v>LAB-018</x:v>
      </x:c>
      <x:c r="B22" s="16" t="n">
        <x:v>2</x:v>
      </x:c>
      <x:c r="C22" s="16" t="str">
        <x:v>Dual-Stack IGP Engineering</x:v>
      </x:c>
      <x:c r="D22" s="16" t="str">
        <x:v>IGP metric engineering and ECMP</x:v>
      </x:c>
      <x:c r="E22" s="16" t="str">
        <x:v>Configure, explain, verify, break, and restore igp metric engineering and ecmp on IOS XR.</x:v>
      </x:c>
      <x:c r="F22" s="16" t="str">
        <x:v>4–6 XR nodes</x:v>
      </x:c>
      <x:c r="G22" s="16" t="n">
        <x:v>3</x:v>
      </x:c>
      <x:c r="H22" s="16" t="str">
        <x:v>Intermediate</x:v>
      </x:c>
      <x:c r="I22" s="16" t="str">
        <x:v>Recommended</x:v>
      </x:c>
      <x:c r="J22" s="16" t="str">
        <x:v>LAB-017</x:v>
      </x:c>
      <x:c r="K22" s="16" t="str">
        <x:v>Not Started</x:v>
      </x:c>
      <x:c r="L22" s="16" t="n">
        <x:v>0</x:v>
      </x:c>
      <x:c r="M22" s="16" t="str"/>
      <x:c r="N22" s="33" t="str"/>
      <x:c r="O22" s="16" t="str">
        <x:v>Configs; control-plane output; forwarding/traffic proof; fault + root cause; pre/post/rollback</x:v>
      </x:c>
      <x:c r="P22" s="16" t="str"/>
      <x:c r="Q22" s="16" t="str">
        <x:v>Phase 2</x:v>
      </x:c>
    </x:row>
    <x:row r="23" ht="132" hidden="0" customHeight="1">
      <x:c r="A23" s="16" t="str">
        <x:v>LAB-019</x:v>
      </x:c>
      <x:c r="B23" s="16" t="n">
        <x:v>2</x:v>
      </x:c>
      <x:c r="C23" s="16" t="str">
        <x:v>Dual-Stack IGP Engineering</x:v>
      </x:c>
      <x:c r="D23" s="16" t="str">
        <x:v>IGP microloop and convergence observation</x:v>
      </x:c>
      <x:c r="E23" s="16" t="str">
        <x:v>Configure, explain, verify, break, and restore igp microloop and convergence observation on IOS XR.</x:v>
      </x:c>
      <x:c r="F23" s="16" t="str">
        <x:v>4–6 XR nodes</x:v>
      </x:c>
      <x:c r="G23" s="16" t="n">
        <x:v>3</x:v>
      </x:c>
      <x:c r="H23" s="16" t="str">
        <x:v>Intermediate</x:v>
      </x:c>
      <x:c r="I23" s="16" t="str">
        <x:v>Recommended</x:v>
      </x:c>
      <x:c r="J23" s="16" t="str">
        <x:v>LAB-018</x:v>
      </x:c>
      <x:c r="K23" s="16" t="str">
        <x:v>Not Started</x:v>
      </x:c>
      <x:c r="L23" s="16" t="n">
        <x:v>0</x:v>
      </x:c>
      <x:c r="M23" s="16" t="str"/>
      <x:c r="N23" s="33" t="str"/>
      <x:c r="O23" s="16" t="str">
        <x:v>Configs; control-plane output; forwarding/traffic proof; fault + root cause; pre/post/rollback</x:v>
      </x:c>
      <x:c r="P23" s="16" t="str"/>
      <x:c r="Q23" s="16" t="str">
        <x:v>Phase 2</x:v>
      </x:c>
    </x:row>
    <x:row r="24" ht="132" hidden="0" customHeight="1">
      <x:c r="A24" s="16" t="str">
        <x:v>LAB-020</x:v>
      </x:c>
      <x:c r="B24" s="16" t="n">
        <x:v>3</x:v>
      </x:c>
      <x:c r="C24" s="16" t="str">
        <x:v>BGP at Service-Provider Scale</x:v>
      </x:c>
      <x:c r="D24" s="16" t="str">
        <x:v>eBGP IPv4/IPv6 baseline and multihop</x:v>
      </x:c>
      <x:c r="E24" s="16" t="str">
        <x:v>Configure, explain, verify, break, and restore ebgp ipv4/ipv6 baseline and multihop on IOS XR.</x:v>
      </x:c>
      <x:c r="F24" s="16" t="str">
        <x:v>4–6 XR nodes</x:v>
      </x:c>
      <x:c r="G24" s="16" t="n">
        <x:v>4</x:v>
      </x:c>
      <x:c r="H24" s="16" t="str">
        <x:v>Advanced</x:v>
      </x:c>
      <x:c r="I24" s="16" t="str">
        <x:v>Core</x:v>
      </x:c>
      <x:c r="J24" s="16" t="str"/>
      <x:c r="K24" s="16" t="str">
        <x:v>Not Started</x:v>
      </x:c>
      <x:c r="L24" s="16" t="n">
        <x:v>0</x:v>
      </x:c>
      <x:c r="M24" s="16" t="str"/>
      <x:c r="N24" s="33" t="str"/>
      <x:c r="O24" s="16" t="str">
        <x:v>Configs; control-plane output; forwarding/traffic proof; fault + root cause; pre/post/rollback</x:v>
      </x:c>
      <x:c r="P24" s="16" t="str"/>
      <x:c r="Q24" s="16" t="str">
        <x:v>Phase 3</x:v>
      </x:c>
    </x:row>
    <x:row r="25" ht="132" hidden="0" customHeight="1">
      <x:c r="A25" s="16" t="str">
        <x:v>LAB-021</x:v>
      </x:c>
      <x:c r="B25" s="16" t="n">
        <x:v>3</x:v>
      </x:c>
      <x:c r="C25" s="16" t="str">
        <x:v>BGP at Service-Provider Scale</x:v>
      </x:c>
      <x:c r="D25" s="16" t="str">
        <x:v>BGP best-path deep dive and deterministic MED</x:v>
      </x:c>
      <x:c r="E25" s="16" t="str">
        <x:v>Configure, explain, verify, break, and restore bgp best-path deep dive and deterministic med on IOS XR.</x:v>
      </x:c>
      <x:c r="F25" s="16" t="str">
        <x:v>4–6 XR nodes</x:v>
      </x:c>
      <x:c r="G25" s="16" t="n">
        <x:v>4</x:v>
      </x:c>
      <x:c r="H25" s="16" t="str">
        <x:v>Advanced</x:v>
      </x:c>
      <x:c r="I25" s="16" t="str">
        <x:v>Core</x:v>
      </x:c>
      <x:c r="J25" s="16" t="str">
        <x:v>LAB-020</x:v>
      </x:c>
      <x:c r="K25" s="16" t="str">
        <x:v>Not Started</x:v>
      </x:c>
      <x:c r="L25" s="16" t="n">
        <x:v>0</x:v>
      </x:c>
      <x:c r="M25" s="16" t="str"/>
      <x:c r="N25" s="33" t="str"/>
      <x:c r="O25" s="16" t="str">
        <x:v>Configs; control-plane output; forwarding/traffic proof; fault + root cause; pre/post/rollback</x:v>
      </x:c>
      <x:c r="P25" s="16" t="str"/>
      <x:c r="Q25" s="16" t="str">
        <x:v>Phase 3</x:v>
      </x:c>
    </x:row>
    <x:row r="26" ht="144" hidden="0" customHeight="1">
      <x:c r="A26" s="16" t="str">
        <x:v>LAB-022</x:v>
      </x:c>
      <x:c r="B26" s="16" t="n">
        <x:v>3</x:v>
      </x:c>
      <x:c r="C26" s="16" t="str">
        <x:v>BGP at Service-Provider Scale</x:v>
      </x:c>
      <x:c r="D26" s="16" t="str">
        <x:v>IOS XR route-policy matching and attribute changes</x:v>
      </x:c>
      <x:c r="E26" s="16" t="str">
        <x:v>Configure, explain, verify, break, and restore ios xr route-policy matching and attribute changes on IOS XR.</x:v>
      </x:c>
      <x:c r="F26" s="16" t="str">
        <x:v>4–6 XR nodes</x:v>
      </x:c>
      <x:c r="G26" s="16" t="n">
        <x:v>4</x:v>
      </x:c>
      <x:c r="H26" s="16" t="str">
        <x:v>Advanced</x:v>
      </x:c>
      <x:c r="I26" s="16" t="str">
        <x:v>Core</x:v>
      </x:c>
      <x:c r="J26" s="16" t="str">
        <x:v>LAB-021</x:v>
      </x:c>
      <x:c r="K26" s="16" t="str">
        <x:v>Not Started</x:v>
      </x:c>
      <x:c r="L26" s="16" t="n">
        <x:v>0</x:v>
      </x:c>
      <x:c r="M26" s="16" t="str"/>
      <x:c r="N26" s="33" t="str"/>
      <x:c r="O26" s="16" t="str">
        <x:v>Configs; control-plane output; forwarding/traffic proof; fault + root cause; pre/post/rollback</x:v>
      </x:c>
      <x:c r="P26" s="16" t="str"/>
      <x:c r="Q26" s="16" t="str">
        <x:v>Phase 3</x:v>
      </x:c>
    </x:row>
    <x:row r="27" ht="132" hidden="0" customHeight="1">
      <x:c r="A27" s="16" t="str">
        <x:v>LAB-023</x:v>
      </x:c>
      <x:c r="B27" s="16" t="n">
        <x:v>3</x:v>
      </x:c>
      <x:c r="C27" s="16" t="str">
        <x:v>BGP at Service-Provider Scale</x:v>
      </x:c>
      <x:c r="D27" s="16" t="str">
        <x:v>Prefix-set, AS-path-set and community-set design</x:v>
      </x:c>
      <x:c r="E27" s="16" t="str">
        <x:v>Configure, explain, verify, break, and restore prefix-set, as-path-set and community-set design on IOS XR.</x:v>
      </x:c>
      <x:c r="F27" s="16" t="str">
        <x:v>4–6 XR nodes</x:v>
      </x:c>
      <x:c r="G27" s="16" t="n">
        <x:v>6</x:v>
      </x:c>
      <x:c r="H27" s="16" t="str">
        <x:v>Expert</x:v>
      </x:c>
      <x:c r="I27" s="16" t="str">
        <x:v>Core</x:v>
      </x:c>
      <x:c r="J27" s="16" t="str">
        <x:v>LAB-022</x:v>
      </x:c>
      <x:c r="K27" s="16" t="str">
        <x:v>Not Started</x:v>
      </x:c>
      <x:c r="L27" s="16" t="n">
        <x:v>0</x:v>
      </x:c>
      <x:c r="M27" s="16" t="str"/>
      <x:c r="N27" s="33" t="str"/>
      <x:c r="O27" s="16" t="str">
        <x:v>Configs; control-plane output; forwarding/traffic proof; fault + root cause; pre/post/rollback</x:v>
      </x:c>
      <x:c r="P27" s="16" t="str"/>
      <x:c r="Q27" s="16" t="str">
        <x:v>Phase 3</x:v>
      </x:c>
    </x:row>
    <x:row r="28" ht="132" hidden="0" customHeight="1">
      <x:c r="A28" s="16" t="str">
        <x:v>LAB-024</x:v>
      </x:c>
      <x:c r="B28" s="16" t="n">
        <x:v>3</x:v>
      </x:c>
      <x:c r="C28" s="16" t="str">
        <x:v>BGP at Service-Provider Scale</x:v>
      </x:c>
      <x:c r="D28" s="16" t="str">
        <x:v>BGP route reflector baseline and cluster behavior</x:v>
      </x:c>
      <x:c r="E28" s="16" t="str">
        <x:v>Configure, explain, verify, break, and restore bgp route reflector baseline and cluster behavior on IOS XR.</x:v>
      </x:c>
      <x:c r="F28" s="16" t="str">
        <x:v>4–6 XR nodes</x:v>
      </x:c>
      <x:c r="G28" s="16" t="n">
        <x:v>4</x:v>
      </x:c>
      <x:c r="H28" s="16" t="str">
        <x:v>Advanced</x:v>
      </x:c>
      <x:c r="I28" s="16" t="str">
        <x:v>Core</x:v>
      </x:c>
      <x:c r="J28" s="16" t="str">
        <x:v>LAB-023</x:v>
      </x:c>
      <x:c r="K28" s="16" t="str">
        <x:v>Not Started</x:v>
      </x:c>
      <x:c r="L28" s="16" t="n">
        <x:v>0</x:v>
      </x:c>
      <x:c r="M28" s="16" t="str"/>
      <x:c r="N28" s="33" t="str"/>
      <x:c r="O28" s="16" t="str">
        <x:v>Configs; control-plane output; forwarding/traffic proof; fault + root cause; pre/post/rollback</x:v>
      </x:c>
      <x:c r="P28" s="16" t="str"/>
      <x:c r="Q28" s="16" t="str">
        <x:v>Phase 3</x:v>
      </x:c>
    </x:row>
    <x:row r="29" ht="132" hidden="0" customHeight="1">
      <x:c r="A29" s="16" t="str">
        <x:v>LAB-025</x:v>
      </x:c>
      <x:c r="B29" s="16" t="n">
        <x:v>3</x:v>
      </x:c>
      <x:c r="C29" s="16" t="str">
        <x:v>BGP at Service-Provider Scale</x:v>
      </x:c>
      <x:c r="D29" s="16" t="str">
        <x:v>Hierarchical route reflection and path hiding</x:v>
      </x:c>
      <x:c r="E29" s="16" t="str">
        <x:v>Configure, explain, verify, break, and restore hierarchical route reflection and path hiding on IOS XR.</x:v>
      </x:c>
      <x:c r="F29" s="16" t="str">
        <x:v>4–6 XR nodes</x:v>
      </x:c>
      <x:c r="G29" s="16" t="n">
        <x:v>4</x:v>
      </x:c>
      <x:c r="H29" s="16" t="str">
        <x:v>Advanced</x:v>
      </x:c>
      <x:c r="I29" s="16" t="str">
        <x:v>Core</x:v>
      </x:c>
      <x:c r="J29" s="16" t="str">
        <x:v>LAB-024</x:v>
      </x:c>
      <x:c r="K29" s="16" t="str">
        <x:v>Not Started</x:v>
      </x:c>
      <x:c r="L29" s="16" t="n">
        <x:v>0</x:v>
      </x:c>
      <x:c r="M29" s="16" t="str"/>
      <x:c r="N29" s="33" t="str"/>
      <x:c r="O29" s="16" t="str">
        <x:v>Configs; control-plane output; forwarding/traffic proof; fault + root cause; pre/post/rollback</x:v>
      </x:c>
      <x:c r="P29" s="16" t="str"/>
      <x:c r="Q29" s="16" t="str">
        <x:v>Phase 3</x:v>
      </x:c>
    </x:row>
    <x:row r="30" ht="132" hidden="0" customHeight="1">
      <x:c r="A30" s="16" t="str">
        <x:v>LAB-026</x:v>
      </x:c>
      <x:c r="B30" s="16" t="n">
        <x:v>3</x:v>
      </x:c>
      <x:c r="C30" s="16" t="str">
        <x:v>BGP at Service-Provider Scale</x:v>
      </x:c>
      <x:c r="D30" s="16" t="str">
        <x:v>Add-Path and optimal route reflection concepts</x:v>
      </x:c>
      <x:c r="E30" s="16" t="str">
        <x:v>Configure, explain, verify, break, and restore add-path and optimal route reflection concepts on IOS XR.</x:v>
      </x:c>
      <x:c r="F30" s="16" t="str">
        <x:v>4–6 XR nodes</x:v>
      </x:c>
      <x:c r="G30" s="16" t="n">
        <x:v>4</x:v>
      </x:c>
      <x:c r="H30" s="16" t="str">
        <x:v>Advanced</x:v>
      </x:c>
      <x:c r="I30" s="16" t="str">
        <x:v>Core</x:v>
      </x:c>
      <x:c r="J30" s="16" t="str">
        <x:v>LAB-025</x:v>
      </x:c>
      <x:c r="K30" s="16" t="str">
        <x:v>Not Started</x:v>
      </x:c>
      <x:c r="L30" s="16" t="n">
        <x:v>0</x:v>
      </x:c>
      <x:c r="M30" s="16" t="str"/>
      <x:c r="N30" s="33" t="str"/>
      <x:c r="O30" s="16" t="str">
        <x:v>Configs; control-plane output; forwarding/traffic proof; fault + root cause; pre/post/rollback</x:v>
      </x:c>
      <x:c r="P30" s="16" t="str"/>
      <x:c r="Q30" s="16" t="str">
        <x:v>Phase 3</x:v>
      </x:c>
    </x:row>
    <x:row r="31" ht="132" hidden="0" customHeight="1">
      <x:c r="A31" s="16" t="str">
        <x:v>LAB-027</x:v>
      </x:c>
      <x:c r="B31" s="16" t="n">
        <x:v>3</x:v>
      </x:c>
      <x:c r="C31" s="16" t="str">
        <x:v>BGP at Service-Provider Scale</x:v>
      </x:c>
      <x:c r="D31" s="16" t="str">
        <x:v>BGP multipath and unequal policy outcomes</x:v>
      </x:c>
      <x:c r="E31" s="16" t="str">
        <x:v>Configure, explain, verify, break, and restore bgp multipath and unequal policy outcomes on IOS XR.</x:v>
      </x:c>
      <x:c r="F31" s="16" t="str">
        <x:v>4–6 XR nodes</x:v>
      </x:c>
      <x:c r="G31" s="16" t="n">
        <x:v>6</x:v>
      </x:c>
      <x:c r="H31" s="16" t="str">
        <x:v>Expert</x:v>
      </x:c>
      <x:c r="I31" s="16" t="str">
        <x:v>Core</x:v>
      </x:c>
      <x:c r="J31" s="16" t="str">
        <x:v>LAB-026</x:v>
      </x:c>
      <x:c r="K31" s="16" t="str">
        <x:v>Not Started</x:v>
      </x:c>
      <x:c r="L31" s="16" t="n">
        <x:v>0</x:v>
      </x:c>
      <x:c r="M31" s="16" t="str"/>
      <x:c r="N31" s="33" t="str"/>
      <x:c r="O31" s="16" t="str">
        <x:v>Configs; control-plane output; forwarding/traffic proof; fault + root cause; pre/post/rollback</x:v>
      </x:c>
      <x:c r="P31" s="16" t="str"/>
      <x:c r="Q31" s="16" t="str">
        <x:v>Phase 3</x:v>
      </x:c>
    </x:row>
    <x:row r="32" ht="156" hidden="0" customHeight="1">
      <x:c r="A32" s="16" t="str">
        <x:v>LAB-028</x:v>
      </x:c>
      <x:c r="B32" s="16" t="n">
        <x:v>3</x:v>
      </x:c>
      <x:c r="C32" s="16" t="str">
        <x:v>BGP at Service-Provider Scale</x:v>
      </x:c>
      <x:c r="D32" s="16" t="str">
        <x:v>BGP aggregation, suppression and conditional advertisement</x:v>
      </x:c>
      <x:c r="E32" s="16" t="str">
        <x:v>Configure, explain, verify, break, and restore bgp aggregation, suppression and conditional advertisement on IOS XR.</x:v>
      </x:c>
      <x:c r="F32" s="16" t="str">
        <x:v>4–6 XR nodes</x:v>
      </x:c>
      <x:c r="G32" s="16" t="n">
        <x:v>4</x:v>
      </x:c>
      <x:c r="H32" s="16" t="str">
        <x:v>Advanced</x:v>
      </x:c>
      <x:c r="I32" s="16" t="str">
        <x:v>Core</x:v>
      </x:c>
      <x:c r="J32" s="16" t="str">
        <x:v>LAB-027</x:v>
      </x:c>
      <x:c r="K32" s="16" t="str">
        <x:v>Not Started</x:v>
      </x:c>
      <x:c r="L32" s="16" t="n">
        <x:v>0</x:v>
      </x:c>
      <x:c r="M32" s="16" t="str"/>
      <x:c r="N32" s="33" t="str"/>
      <x:c r="O32" s="16" t="str">
        <x:v>Configs; control-plane output; forwarding/traffic proof; fault + root cause; pre/post/rollback</x:v>
      </x:c>
      <x:c r="P32" s="16" t="str"/>
      <x:c r="Q32" s="16" t="str">
        <x:v>Phase 3</x:v>
      </x:c>
    </x:row>
    <x:row r="33" ht="120" hidden="0" customHeight="1">
      <x:c r="A33" s="16" t="str">
        <x:v>LAB-029</x:v>
      </x:c>
      <x:c r="B33" s="16" t="n">
        <x:v>3</x:v>
      </x:c>
      <x:c r="C33" s="16" t="str">
        <x:v>BGP at Service-Provider Scale</x:v>
      </x:c>
      <x:c r="D33" s="16" t="str">
        <x:v>BGP local-AS, allowas-in and AS override</x:v>
      </x:c>
      <x:c r="E33" s="16" t="str">
        <x:v>Configure, explain, verify, break, and restore bgp local-as, allowas-in and as override on IOS XR.</x:v>
      </x:c>
      <x:c r="F33" s="16" t="str">
        <x:v>4–6 XR nodes</x:v>
      </x:c>
      <x:c r="G33" s="16" t="n">
        <x:v>4</x:v>
      </x:c>
      <x:c r="H33" s="16" t="str">
        <x:v>Advanced</x:v>
      </x:c>
      <x:c r="I33" s="16" t="str">
        <x:v>Core</x:v>
      </x:c>
      <x:c r="J33" s="16" t="str">
        <x:v>LAB-028</x:v>
      </x:c>
      <x:c r="K33" s="16" t="str">
        <x:v>Not Started</x:v>
      </x:c>
      <x:c r="L33" s="16" t="n">
        <x:v>0</x:v>
      </x:c>
      <x:c r="M33" s="16" t="str"/>
      <x:c r="N33" s="33" t="str"/>
      <x:c r="O33" s="16" t="str">
        <x:v>Configs; control-plane output; forwarding/traffic proof; fault + root cause; pre/post/rollback</x:v>
      </x:c>
      <x:c r="P33" s="16" t="str"/>
      <x:c r="Q33" s="16" t="str">
        <x:v>Phase 3</x:v>
      </x:c>
    </x:row>
    <x:row r="34" ht="132" hidden="0" customHeight="1">
      <x:c r="A34" s="16" t="str">
        <x:v>LAB-030</x:v>
      </x:c>
      <x:c r="B34" s="16" t="n">
        <x:v>3</x:v>
      </x:c>
      <x:c r="C34" s="16" t="str">
        <x:v>BGP at Service-Provider Scale</x:v>
      </x:c>
      <x:c r="D34" s="16" t="str">
        <x:v>BGP graceful shutdown and maintenance policy</x:v>
      </x:c>
      <x:c r="E34" s="16" t="str">
        <x:v>Configure, explain, verify, break, and restore bgp graceful shutdown and maintenance policy on IOS XR.</x:v>
      </x:c>
      <x:c r="F34" s="16" t="str">
        <x:v>4–6 XR nodes</x:v>
      </x:c>
      <x:c r="G34" s="16" t="n">
        <x:v>4</x:v>
      </x:c>
      <x:c r="H34" s="16" t="str">
        <x:v>Advanced</x:v>
      </x:c>
      <x:c r="I34" s="16" t="str">
        <x:v>Core</x:v>
      </x:c>
      <x:c r="J34" s="16" t="str">
        <x:v>LAB-029</x:v>
      </x:c>
      <x:c r="K34" s="16" t="str">
        <x:v>Not Started</x:v>
      </x:c>
      <x:c r="L34" s="16" t="n">
        <x:v>0</x:v>
      </x:c>
      <x:c r="M34" s="16" t="str"/>
      <x:c r="N34" s="33" t="str"/>
      <x:c r="O34" s="16" t="str">
        <x:v>Configs; control-plane output; forwarding/traffic proof; fault + root cause; pre/post/rollback</x:v>
      </x:c>
      <x:c r="P34" s="16" t="str"/>
      <x:c r="Q34" s="16" t="str">
        <x:v>Phase 3</x:v>
      </x:c>
    </x:row>
    <x:row r="35" ht="120" hidden="0" customHeight="1">
      <x:c r="A35" s="16" t="str">
        <x:v>LAB-031</x:v>
      </x:c>
      <x:c r="B35" s="16" t="n">
        <x:v>3</x:v>
      </x:c>
      <x:c r="C35" s="16" t="str">
        <x:v>BGP at Service-Provider Scale</x:v>
      </x:c>
      <x:c r="D35" s="16" t="str">
        <x:v>BGP maximum-prefix and session protection</x:v>
      </x:c>
      <x:c r="E35" s="16" t="str">
        <x:v>Configure, explain, verify, break, and restore bgp maximum-prefix and session protection on IOS XR.</x:v>
      </x:c>
      <x:c r="F35" s="16" t="str">
        <x:v>4–6 XR nodes</x:v>
      </x:c>
      <x:c r="G35" s="16" t="n">
        <x:v>6</x:v>
      </x:c>
      <x:c r="H35" s="16" t="str">
        <x:v>Expert</x:v>
      </x:c>
      <x:c r="I35" s="16" t="str">
        <x:v>Core</x:v>
      </x:c>
      <x:c r="J35" s="16" t="str">
        <x:v>LAB-030</x:v>
      </x:c>
      <x:c r="K35" s="16" t="str">
        <x:v>Not Started</x:v>
      </x:c>
      <x:c r="L35" s="16" t="n">
        <x:v>0</x:v>
      </x:c>
      <x:c r="M35" s="16" t="str"/>
      <x:c r="N35" s="33" t="str"/>
      <x:c r="O35" s="16" t="str">
        <x:v>Configs; control-plane output; forwarding/traffic proof; fault + root cause; pre/post/rollback</x:v>
      </x:c>
      <x:c r="P35" s="16" t="str"/>
      <x:c r="Q35" s="16" t="str">
        <x:v>Phase 3</x:v>
      </x:c>
    </x:row>
    <x:row r="36" ht="108" hidden="0" customHeight="1">
      <x:c r="A36" s="16" t="str">
        <x:v>LAB-032</x:v>
      </x:c>
      <x:c r="B36" s="16" t="n">
        <x:v>3</x:v>
      </x:c>
      <x:c r="C36" s="16" t="str">
        <x:v>BGP at Service-Provider Scale</x:v>
      </x:c>
      <x:c r="D36" s="16" t="str">
        <x:v>BGP labeled-unicast transport</x:v>
      </x:c>
      <x:c r="E36" s="16" t="str">
        <x:v>Configure, explain, verify, break, and restore bgp labeled-unicast transport on IOS XR.</x:v>
      </x:c>
      <x:c r="F36" s="16" t="str">
        <x:v>4–6 XR nodes</x:v>
      </x:c>
      <x:c r="G36" s="16" t="n">
        <x:v>4</x:v>
      </x:c>
      <x:c r="H36" s="16" t="str">
        <x:v>Advanced</x:v>
      </x:c>
      <x:c r="I36" s="16" t="str">
        <x:v>Core</x:v>
      </x:c>
      <x:c r="J36" s="16" t="str">
        <x:v>LAB-031</x:v>
      </x:c>
      <x:c r="K36" s="16" t="str">
        <x:v>Not Started</x:v>
      </x:c>
      <x:c r="L36" s="16" t="n">
        <x:v>0</x:v>
      </x:c>
      <x:c r="M36" s="16" t="str"/>
      <x:c r="N36" s="33" t="str"/>
      <x:c r="O36" s="16" t="str">
        <x:v>Configs; control-plane output; forwarding/traffic proof; fault + root cause; pre/post/rollback</x:v>
      </x:c>
      <x:c r="P36" s="16" t="str"/>
      <x:c r="Q36" s="16" t="str">
        <x:v>Phase 3</x:v>
      </x:c>
    </x:row>
    <x:row r="37" ht="144" hidden="0" customHeight="1">
      <x:c r="A37" s="16" t="str">
        <x:v>LAB-033</x:v>
      </x:c>
      <x:c r="B37" s="16" t="n">
        <x:v>3</x:v>
      </x:c>
      <x:c r="C37" s="16" t="str">
        <x:v>BGP at Service-Provider Scale</x:v>
      </x:c>
      <x:c r="D37" s="16" t="str">
        <x:v>BGP convergence, PIC edge/core and next-hop tracking</x:v>
      </x:c>
      <x:c r="E37" s="16" t="str">
        <x:v>Configure, explain, verify, break, and restore bgp convergence, pic edge/core and next-hop tracking on IOS XR.</x:v>
      </x:c>
      <x:c r="F37" s="16" t="str">
        <x:v>4–6 XR nodes</x:v>
      </x:c>
      <x:c r="G37" s="16" t="n">
        <x:v>4</x:v>
      </x:c>
      <x:c r="H37" s="16" t="str">
        <x:v>Advanced</x:v>
      </x:c>
      <x:c r="I37" s="16" t="str">
        <x:v>Core</x:v>
      </x:c>
      <x:c r="J37" s="16" t="str">
        <x:v>LAB-032</x:v>
      </x:c>
      <x:c r="K37" s="16" t="str">
        <x:v>Not Started</x:v>
      </x:c>
      <x:c r="L37" s="16" t="n">
        <x:v>0</x:v>
      </x:c>
      <x:c r="M37" s="16" t="str"/>
      <x:c r="N37" s="33" t="str"/>
      <x:c r="O37" s="16" t="str">
        <x:v>Configs; control-plane output; forwarding/traffic proof; fault + root cause; pre/post/rollback</x:v>
      </x:c>
      <x:c r="P37" s="16" t="str"/>
      <x:c r="Q37" s="16" t="str">
        <x:v>Phase 3</x:v>
      </x:c>
    </x:row>
    <x:row r="38" ht="120" hidden="0" customHeight="1">
      <x:c r="A38" s="16" t="str">
        <x:v>LAB-034</x:v>
      </x:c>
      <x:c r="B38" s="16" t="n">
        <x:v>4</x:v>
      </x:c>
      <x:c r="C38" s="16" t="str">
        <x:v>MPLS Transport: LDP &amp; RSVP-TE</x:v>
      </x:c>
      <x:c r="D38" s="16" t="str">
        <x:v>LDP discovery, sessions and label bindings</x:v>
      </x:c>
      <x:c r="E38" s="16" t="str">
        <x:v>Configure, explain, verify, break, and restore ldp discovery, sessions and label bindings on IOS XR.</x:v>
      </x:c>
      <x:c r="F38" s="16" t="str">
        <x:v>4–6 XR nodes</x:v>
      </x:c>
      <x:c r="G38" s="16" t="n">
        <x:v>4</x:v>
      </x:c>
      <x:c r="H38" s="16" t="str">
        <x:v>Advanced</x:v>
      </x:c>
      <x:c r="I38" s="16" t="str">
        <x:v>Core</x:v>
      </x:c>
      <x:c r="J38" s="16" t="str"/>
      <x:c r="K38" s="16" t="str">
        <x:v>Not Started</x:v>
      </x:c>
      <x:c r="L38" s="16" t="n">
        <x:v>0</x:v>
      </x:c>
      <x:c r="M38" s="16" t="str"/>
      <x:c r="N38" s="33" t="str"/>
      <x:c r="O38" s="16" t="str">
        <x:v>Configs; control-plane output; forwarding/traffic proof; fault + root cause; pre/post/rollback</x:v>
      </x:c>
      <x:c r="P38" s="16" t="str"/>
      <x:c r="Q38" s="16" t="str">
        <x:v>Phase 4</x:v>
      </x:c>
    </x:row>
    <x:row r="39" ht="132" hidden="0" customHeight="1">
      <x:c r="A39" s="16" t="str">
        <x:v>LAB-035</x:v>
      </x:c>
      <x:c r="B39" s="16" t="n">
        <x:v>4</x:v>
      </x:c>
      <x:c r="C39" s="16" t="str">
        <x:v>MPLS Transport: LDP &amp; RSVP-TE</x:v>
      </x:c>
      <x:c r="D39" s="16" t="str">
        <x:v>LDP router-id and transport-address failure</x:v>
      </x:c>
      <x:c r="E39" s="16" t="str">
        <x:v>Configure, explain, verify, break, and restore ldp router-id and transport-address failure on IOS XR.</x:v>
      </x:c>
      <x:c r="F39" s="16" t="str">
        <x:v>4–6 XR nodes</x:v>
      </x:c>
      <x:c r="G39" s="16" t="n">
        <x:v>4</x:v>
      </x:c>
      <x:c r="H39" s="16" t="str">
        <x:v>Advanced</x:v>
      </x:c>
      <x:c r="I39" s="16" t="str">
        <x:v>Recommended</x:v>
      </x:c>
      <x:c r="J39" s="16" t="str">
        <x:v>LAB-034</x:v>
      </x:c>
      <x:c r="K39" s="16" t="str">
        <x:v>Not Started</x:v>
      </x:c>
      <x:c r="L39" s="16" t="n">
        <x:v>0</x:v>
      </x:c>
      <x:c r="M39" s="16" t="str"/>
      <x:c r="N39" s="33" t="str"/>
      <x:c r="O39" s="16" t="str">
        <x:v>Configs; control-plane output; forwarding/traffic proof; fault + root cause; pre/post/rollback</x:v>
      </x:c>
      <x:c r="P39" s="16" t="str"/>
      <x:c r="Q39" s="16" t="str">
        <x:v>Phase 4</x:v>
      </x:c>
    </x:row>
    <x:row r="40" ht="108" hidden="0" customHeight="1">
      <x:c r="A40" s="16" t="str">
        <x:v>LAB-036</x:v>
      </x:c>
      <x:c r="B40" s="16" t="n">
        <x:v>4</x:v>
      </x:c>
      <x:c r="C40" s="16" t="str">
        <x:v>MPLS Transport: LDP &amp; RSVP-TE</x:v>
      </x:c>
      <x:c r="D40" s="16" t="str">
        <x:v>LDP-IGP synchronization</x:v>
      </x:c>
      <x:c r="E40" s="16" t="str">
        <x:v>Configure, explain, verify, break, and restore ldp-igp synchronization on IOS XR.</x:v>
      </x:c>
      <x:c r="F40" s="16" t="str">
        <x:v>4–6 XR nodes</x:v>
      </x:c>
      <x:c r="G40" s="16" t="n">
        <x:v>4</x:v>
      </x:c>
      <x:c r="H40" s="16" t="str">
        <x:v>Advanced</x:v>
      </x:c>
      <x:c r="I40" s="16" t="str">
        <x:v>Recommended</x:v>
      </x:c>
      <x:c r="J40" s="16" t="str">
        <x:v>LAB-035</x:v>
      </x:c>
      <x:c r="K40" s="16" t="str">
        <x:v>Not Started</x:v>
      </x:c>
      <x:c r="L40" s="16" t="n">
        <x:v>0</x:v>
      </x:c>
      <x:c r="M40" s="16" t="str"/>
      <x:c r="N40" s="33" t="str"/>
      <x:c r="O40" s="16" t="str">
        <x:v>Configs; control-plane output; forwarding/traffic proof; fault + root cause; pre/post/rollback</x:v>
      </x:c>
      <x:c r="P40" s="16" t="str"/>
      <x:c r="Q40" s="16" t="str">
        <x:v>Phase 4</x:v>
      </x:c>
    </x:row>
    <x:row r="41" ht="120" hidden="0" customHeight="1">
      <x:c r="A41" s="16" t="str">
        <x:v>LAB-037</x:v>
      </x:c>
      <x:c r="B41" s="16" t="n">
        <x:v>4</x:v>
      </x:c>
      <x:c r="C41" s="16" t="str">
        <x:v>MPLS Transport: LDP &amp; RSVP-TE</x:v>
      </x:c>
      <x:c r="D41" s="16" t="str">
        <x:v>Targeted LDP session and pseudowire transport</x:v>
      </x:c>
      <x:c r="E41" s="16" t="str">
        <x:v>Configure, explain, verify, break, and restore targeted ldp session and pseudowire transport on IOS XR.</x:v>
      </x:c>
      <x:c r="F41" s="16" t="str">
        <x:v>4–6 XR nodes</x:v>
      </x:c>
      <x:c r="G41" s="16" t="n">
        <x:v>6</x:v>
      </x:c>
      <x:c r="H41" s="16" t="str">
        <x:v>Expert</x:v>
      </x:c>
      <x:c r="I41" s="16" t="str">
        <x:v>Core</x:v>
      </x:c>
      <x:c r="J41" s="16" t="str">
        <x:v>LAB-036</x:v>
      </x:c>
      <x:c r="K41" s="16" t="str">
        <x:v>Not Started</x:v>
      </x:c>
      <x:c r="L41" s="16" t="n">
        <x:v>0</x:v>
      </x:c>
      <x:c r="M41" s="16" t="str"/>
      <x:c r="N41" s="33" t="str"/>
      <x:c r="O41" s="16" t="str">
        <x:v>Configs; control-plane output; forwarding/traffic proof; fault + root cause; pre/post/rollback</x:v>
      </x:c>
      <x:c r="P41" s="16" t="str"/>
      <x:c r="Q41" s="16" t="str">
        <x:v>Phase 4</x:v>
      </x:c>
    </x:row>
    <x:row r="42" ht="120" hidden="0" customHeight="1">
      <x:c r="A42" s="16" t="str">
        <x:v>LAB-038</x:v>
      </x:c>
      <x:c r="B42" s="16" t="n">
        <x:v>4</x:v>
      </x:c>
      <x:c r="C42" s="16" t="str">
        <x:v>MPLS Transport: LDP &amp; RSVP-TE</x:v>
      </x:c>
      <x:c r="D42" s="16" t="str">
        <x:v>PHP, explicit-null and label-stack tracing</x:v>
      </x:c>
      <x:c r="E42" s="16" t="str">
        <x:v>Configure, explain, verify, break, and restore php, explicit-null and label-stack tracing on IOS XR.</x:v>
      </x:c>
      <x:c r="F42" s="16" t="str">
        <x:v>4–6 XR nodes</x:v>
      </x:c>
      <x:c r="G42" s="16" t="n">
        <x:v>4</x:v>
      </x:c>
      <x:c r="H42" s="16" t="str">
        <x:v>Advanced</x:v>
      </x:c>
      <x:c r="I42" s="16" t="str">
        <x:v>Recommended</x:v>
      </x:c>
      <x:c r="J42" s="16" t="str">
        <x:v>LAB-037</x:v>
      </x:c>
      <x:c r="K42" s="16" t="str">
        <x:v>Not Started</x:v>
      </x:c>
      <x:c r="L42" s="16" t="n">
        <x:v>0</x:v>
      </x:c>
      <x:c r="M42" s="16" t="str"/>
      <x:c r="N42" s="33" t="str"/>
      <x:c r="O42" s="16" t="str">
        <x:v>Configs; control-plane output; forwarding/traffic proof; fault + root cause; pre/post/rollback</x:v>
      </x:c>
      <x:c r="P42" s="16" t="str"/>
      <x:c r="Q42" s="16" t="str">
        <x:v>Phase 4</x:v>
      </x:c>
    </x:row>
    <x:row r="43" ht="108" hidden="0" customHeight="1">
      <x:c r="A43" s="16" t="str">
        <x:v>LAB-039</x:v>
      </x:c>
      <x:c r="B43" s="16" t="n">
        <x:v>4</x:v>
      </x:c>
      <x:c r="C43" s="16" t="str">
        <x:v>MPLS Transport: LDP &amp; RSVP-TE</x:v>
      </x:c>
      <x:c r="D43" s="16" t="str">
        <x:v>LDP authentication and filtering</x:v>
      </x:c>
      <x:c r="E43" s="16" t="str">
        <x:v>Configure, explain, verify, break, and restore ldp authentication and filtering on IOS XR.</x:v>
      </x:c>
      <x:c r="F43" s="16" t="str">
        <x:v>4–6 XR nodes</x:v>
      </x:c>
      <x:c r="G43" s="16" t="n">
        <x:v>4</x:v>
      </x:c>
      <x:c r="H43" s="16" t="str">
        <x:v>Advanced</x:v>
      </x:c>
      <x:c r="I43" s="16" t="str">
        <x:v>Recommended</x:v>
      </x:c>
      <x:c r="J43" s="16" t="str">
        <x:v>LAB-038</x:v>
      </x:c>
      <x:c r="K43" s="16" t="str">
        <x:v>Not Started</x:v>
      </x:c>
      <x:c r="L43" s="16" t="n">
        <x:v>0</x:v>
      </x:c>
      <x:c r="M43" s="16" t="str"/>
      <x:c r="N43" s="33" t="str"/>
      <x:c r="O43" s="16" t="str">
        <x:v>Configs; control-plane output; forwarding/traffic proof; fault + root cause; pre/post/rollback</x:v>
      </x:c>
      <x:c r="P43" s="16" t="str"/>
      <x:c r="Q43" s="16" t="str">
        <x:v>Phase 4</x:v>
      </x:c>
    </x:row>
    <x:row r="44" ht="120" hidden="0" customHeight="1">
      <x:c r="A44" s="16" t="str">
        <x:v>LAB-040</x:v>
      </x:c>
      <x:c r="B44" s="16" t="n">
        <x:v>4</x:v>
      </x:c>
      <x:c r="C44" s="16" t="str">
        <x:v>MPLS Transport: LDP &amp; RSVP-TE</x:v>
      </x:c>
      <x:c r="D44" s="16" t="str">
        <x:v>RSVP-TE topology and IGP TE extensions</x:v>
      </x:c>
      <x:c r="E44" s="16" t="str">
        <x:v>Configure, explain, verify, break, and restore rsvp-te topology and igp te extensions on IOS XR.</x:v>
      </x:c>
      <x:c r="F44" s="16" t="str">
        <x:v>4–6 XR nodes</x:v>
      </x:c>
      <x:c r="G44" s="16" t="n">
        <x:v>4</x:v>
      </x:c>
      <x:c r="H44" s="16" t="str">
        <x:v>Advanced</x:v>
      </x:c>
      <x:c r="I44" s="16" t="str">
        <x:v>Core</x:v>
      </x:c>
      <x:c r="J44" s="16" t="str">
        <x:v>LAB-039</x:v>
      </x:c>
      <x:c r="K44" s="16" t="str">
        <x:v>Not Started</x:v>
      </x:c>
      <x:c r="L44" s="16" t="n">
        <x:v>0</x:v>
      </x:c>
      <x:c r="M44" s="16" t="str"/>
      <x:c r="N44" s="33" t="str"/>
      <x:c r="O44" s="16" t="str">
        <x:v>Configs; control-plane output; forwarding/traffic proof; fault + root cause; pre/post/rollback</x:v>
      </x:c>
      <x:c r="P44" s="16" t="str"/>
      <x:c r="Q44" s="16" t="str">
        <x:v>Phase 4</x:v>
      </x:c>
    </x:row>
    <x:row r="45" ht="132" hidden="0" customHeight="1">
      <x:c r="A45" s="16" t="str">
        <x:v>LAB-041</x:v>
      </x:c>
      <x:c r="B45" s="16" t="n">
        <x:v>4</x:v>
      </x:c>
      <x:c r="C45" s="16" t="str">
        <x:v>MPLS Transport: LDP &amp; RSVP-TE</x:v>
      </x:c>
      <x:c r="D45" s="16" t="str">
        <x:v>RSVP-TE explicit path and bandwidth reservation</x:v>
      </x:c>
      <x:c r="E45" s="16" t="str">
        <x:v>Configure, explain, verify, break, and restore rsvp-te explicit path and bandwidth reservation on IOS XR.</x:v>
      </x:c>
      <x:c r="F45" s="16" t="str">
        <x:v>4–6 XR nodes</x:v>
      </x:c>
      <x:c r="G45" s="16" t="n">
        <x:v>6</x:v>
      </x:c>
      <x:c r="H45" s="16" t="str">
        <x:v>Expert</x:v>
      </x:c>
      <x:c r="I45" s="16" t="str">
        <x:v>Recommended</x:v>
      </x:c>
      <x:c r="J45" s="16" t="str">
        <x:v>LAB-040</x:v>
      </x:c>
      <x:c r="K45" s="16" t="str">
        <x:v>Not Started</x:v>
      </x:c>
      <x:c r="L45" s="16" t="n">
        <x:v>0</x:v>
      </x:c>
      <x:c r="M45" s="16" t="str"/>
      <x:c r="N45" s="33" t="str"/>
      <x:c r="O45" s="16" t="str">
        <x:v>Configs; control-plane output; forwarding/traffic proof; fault + root cause; pre/post/rollback</x:v>
      </x:c>
      <x:c r="P45" s="16" t="str"/>
      <x:c r="Q45" s="16" t="str">
        <x:v>Phase 4</x:v>
      </x:c>
    </x:row>
    <x:row r="46" ht="108" hidden="0" customHeight="1">
      <x:c r="A46" s="16" t="str">
        <x:v>LAB-042</x:v>
      </x:c>
      <x:c r="B46" s="16" t="n">
        <x:v>4</x:v>
      </x:c>
      <x:c r="C46" s="16" t="str">
        <x:v>MPLS Transport: LDP &amp; RSVP-TE</x:v>
      </x:c>
      <x:c r="D46" s="16" t="str">
        <x:v>RSVP-TE path protection and FRR</x:v>
      </x:c>
      <x:c r="E46" s="16" t="str">
        <x:v>Configure, explain, verify, break, and restore rsvp-te path protection and frr on IOS XR.</x:v>
      </x:c>
      <x:c r="F46" s="16" t="str">
        <x:v>4–6 XR nodes</x:v>
      </x:c>
      <x:c r="G46" s="16" t="n">
        <x:v>4</x:v>
      </x:c>
      <x:c r="H46" s="16" t="str">
        <x:v>Advanced</x:v>
      </x:c>
      <x:c r="I46" s="16" t="str">
        <x:v>Recommended</x:v>
      </x:c>
      <x:c r="J46" s="16" t="str">
        <x:v>LAB-041</x:v>
      </x:c>
      <x:c r="K46" s="16" t="str">
        <x:v>Not Started</x:v>
      </x:c>
      <x:c r="L46" s="16" t="n">
        <x:v>0</x:v>
      </x:c>
      <x:c r="M46" s="16" t="str"/>
      <x:c r="N46" s="33" t="str"/>
      <x:c r="O46" s="16" t="str">
        <x:v>Configs; control-plane output; forwarding/traffic proof; fault + root cause; pre/post/rollback</x:v>
      </x:c>
      <x:c r="P46" s="16" t="str"/>
      <x:c r="Q46" s="16" t="str">
        <x:v>Phase 4</x:v>
      </x:c>
    </x:row>
    <x:row r="47" ht="144" hidden="0" customHeight="1">
      <x:c r="A47" s="16" t="str">
        <x:v>LAB-043</x:v>
      </x:c>
      <x:c r="B47" s="16" t="n">
        <x:v>4</x:v>
      </x:c>
      <x:c r="C47" s="16" t="str">
        <x:v>MPLS Transport: LDP &amp; RSVP-TE</x:v>
      </x:c>
      <x:c r="D47" s="16" t="str">
        <x:v>MPLS MTU and fragmentation troubleshooting</x:v>
      </x:c>
      <x:c r="E47" s="16" t="str">
        <x:v>Configure, explain, verify, break, and restore mpls mtu and fragmentation troubleshooting on IOS XR.</x:v>
      </x:c>
      <x:c r="F47" s="16" t="str">
        <x:v>4–6 XR nodes</x:v>
      </x:c>
      <x:c r="G47" s="16" t="n">
        <x:v>4</x:v>
      </x:c>
      <x:c r="H47" s="16" t="str">
        <x:v>Advanced</x:v>
      </x:c>
      <x:c r="I47" s="16" t="str">
        <x:v>Core</x:v>
      </x:c>
      <x:c r="J47" s="16" t="str">
        <x:v>LAB-042</x:v>
      </x:c>
      <x:c r="K47" s="16" t="str">
        <x:v>Not Started</x:v>
      </x:c>
      <x:c r="L47" s="16" t="n">
        <x:v>0</x:v>
      </x:c>
      <x:c r="M47" s="16" t="str"/>
      <x:c r="N47" s="33" t="str"/>
      <x:c r="O47" s="16" t="str">
        <x:v>Configs; control-plane output; forwarding/traffic proof; fault + root cause; pre/post/rollback</x:v>
      </x:c>
      <x:c r="P47" s="16" t="str"/>
      <x:c r="Q47" s="16" t="str">
        <x:v>Phase 4</x:v>
      </x:c>
    </x:row>
    <x:row r="48" ht="144" hidden="0" customHeight="1">
      <x:c r="A48" s="16" t="str">
        <x:v>LAB-044</x:v>
      </x:c>
      <x:c r="B48" s="16" t="n">
        <x:v>5</x:v>
      </x:c>
      <x:c r="C48" s="16" t="str">
        <x:v>Segment Routing MPLS &amp; SR-TE</x:v>
      </x:c>
      <x:c r="D48" s="16" t="str">
        <x:v>SR-MPLS global block and prefix-SID fundamentals</x:v>
      </x:c>
      <x:c r="E48" s="16" t="str">
        <x:v>Configure, explain, verify, break, and restore sr-mpls global block and prefix-sid fundamentals on IOS XR.</x:v>
      </x:c>
      <x:c r="F48" s="16" t="str">
        <x:v>4–6 XR nodes</x:v>
      </x:c>
      <x:c r="G48" s="16" t="n">
        <x:v>4</x:v>
      </x:c>
      <x:c r="H48" s="16" t="str">
        <x:v>Advanced</x:v>
      </x:c>
      <x:c r="I48" s="16" t="str">
        <x:v>Core</x:v>
      </x:c>
      <x:c r="J48" s="16" t="str"/>
      <x:c r="K48" s="16" t="str">
        <x:v>Not Started</x:v>
      </x:c>
      <x:c r="L48" s="16" t="n">
        <x:v>0</x:v>
      </x:c>
      <x:c r="M48" s="16" t="str"/>
      <x:c r="N48" s="33" t="str"/>
      <x:c r="O48" s="16" t="str">
        <x:v>Configs; control-plane output; forwarding/traffic proof; fault + root cause; pre/post/rollback</x:v>
      </x:c>
      <x:c r="P48" s="16" t="str"/>
      <x:c r="Q48" s="16" t="str">
        <x:v>Phase 5</x:v>
      </x:c>
    </x:row>
    <x:row r="49" ht="108" hidden="0" customHeight="1">
      <x:c r="A49" s="16" t="str">
        <x:v>LAB-045</x:v>
      </x:c>
      <x:c r="B49" s="16" t="n">
        <x:v>5</x:v>
      </x:c>
      <x:c r="C49" s="16" t="str">
        <x:v>Segment Routing MPLS &amp; SR-TE</x:v>
      </x:c>
      <x:c r="D49" s="16" t="str">
        <x:v>IS-IS SR-MPLS underlay</x:v>
      </x:c>
      <x:c r="E49" s="16" t="str">
        <x:v>Configure, explain, verify, break, and restore is-is sr-mpls underlay on IOS XR.</x:v>
      </x:c>
      <x:c r="F49" s="16" t="str">
        <x:v>4–6 XR nodes</x:v>
      </x:c>
      <x:c r="G49" s="16" t="n">
        <x:v>4</x:v>
      </x:c>
      <x:c r="H49" s="16" t="str">
        <x:v>Advanced</x:v>
      </x:c>
      <x:c r="I49" s="16" t="str">
        <x:v>Core</x:v>
      </x:c>
      <x:c r="J49" s="16" t="str">
        <x:v>LAB-044</x:v>
      </x:c>
      <x:c r="K49" s="16" t="str">
        <x:v>Not Started</x:v>
      </x:c>
      <x:c r="L49" s="16" t="n">
        <x:v>0</x:v>
      </x:c>
      <x:c r="M49" s="16" t="str"/>
      <x:c r="N49" s="33" t="str"/>
      <x:c r="O49" s="16" t="str">
        <x:v>Configs; control-plane output; forwarding/traffic proof; fault + root cause; pre/post/rollback</x:v>
      </x:c>
      <x:c r="P49" s="16" t="str"/>
      <x:c r="Q49" s="16" t="str">
        <x:v>Phase 5</x:v>
      </x:c>
    </x:row>
    <x:row r="50" ht="108" hidden="0" customHeight="1">
      <x:c r="A50" s="16" t="str">
        <x:v>LAB-046</x:v>
      </x:c>
      <x:c r="B50" s="16" t="n">
        <x:v>5</x:v>
      </x:c>
      <x:c r="C50" s="16" t="str">
        <x:v>Segment Routing MPLS &amp; SR-TE</x:v>
      </x:c>
      <x:c r="D50" s="16" t="str">
        <x:v>OSPF SR-MPLS underlay</x:v>
      </x:c>
      <x:c r="E50" s="16" t="str">
        <x:v>Configure, explain, verify, break, and restore ospf sr-mpls underlay on IOS XR.</x:v>
      </x:c>
      <x:c r="F50" s="16" t="str">
        <x:v>4–6 XR nodes</x:v>
      </x:c>
      <x:c r="G50" s="16" t="n">
        <x:v>4</x:v>
      </x:c>
      <x:c r="H50" s="16" t="str">
        <x:v>Advanced</x:v>
      </x:c>
      <x:c r="I50" s="16" t="str">
        <x:v>Core</x:v>
      </x:c>
      <x:c r="J50" s="16" t="str">
        <x:v>LAB-045</x:v>
      </x:c>
      <x:c r="K50" s="16" t="str">
        <x:v>Not Started</x:v>
      </x:c>
      <x:c r="L50" s="16" t="n">
        <x:v>0</x:v>
      </x:c>
      <x:c r="M50" s="16" t="str"/>
      <x:c r="N50" s="33" t="str"/>
      <x:c r="O50" s="16" t="str">
        <x:v>Configs; control-plane output; forwarding/traffic proof; fault + root cause; pre/post/rollback</x:v>
      </x:c>
      <x:c r="P50" s="16" t="str"/>
      <x:c r="Q50" s="16" t="str">
        <x:v>Phase 5</x:v>
      </x:c>
    </x:row>
    <x:row r="51" ht="132" hidden="0" customHeight="1">
      <x:c r="A51" s="16" t="str">
        <x:v>LAB-047</x:v>
      </x:c>
      <x:c r="B51" s="16" t="n">
        <x:v>5</x:v>
      </x:c>
      <x:c r="C51" s="16" t="str">
        <x:v>Segment Routing MPLS &amp; SR-TE</x:v>
      </x:c>
      <x:c r="D51" s="16" t="str">
        <x:v>Absolute/relative prefix-SID collision handling</x:v>
      </x:c>
      <x:c r="E51" s="16" t="str">
        <x:v>Configure, explain, verify, break, and restore absolute/relative prefix-sid collision handling on IOS XR.</x:v>
      </x:c>
      <x:c r="F51" s="16" t="str">
        <x:v>4–6 XR nodes</x:v>
      </x:c>
      <x:c r="G51" s="16" t="n">
        <x:v>6</x:v>
      </x:c>
      <x:c r="H51" s="16" t="str">
        <x:v>Expert</x:v>
      </x:c>
      <x:c r="I51" s="16" t="str">
        <x:v>Core</x:v>
      </x:c>
      <x:c r="J51" s="16" t="str">
        <x:v>LAB-046</x:v>
      </x:c>
      <x:c r="K51" s="16" t="str">
        <x:v>Not Started</x:v>
      </x:c>
      <x:c r="L51" s="16" t="n">
        <x:v>0</x:v>
      </x:c>
      <x:c r="M51" s="16" t="str"/>
      <x:c r="N51" s="33" t="str"/>
      <x:c r="O51" s="16" t="str">
        <x:v>Configs; control-plane output; forwarding/traffic proof; fault + root cause; pre/post/rollback</x:v>
      </x:c>
      <x:c r="P51" s="16" t="str"/>
      <x:c r="Q51" s="16" t="str">
        <x:v>Phase 5</x:v>
      </x:c>
    </x:row>
    <x:row r="52" ht="120" hidden="0" customHeight="1">
      <x:c r="A52" s="16" t="str">
        <x:v>LAB-048</x:v>
      </x:c>
      <x:c r="B52" s="16" t="n">
        <x:v>5</x:v>
      </x:c>
      <x:c r="C52" s="16" t="str">
        <x:v>Segment Routing MPLS &amp; SR-TE</x:v>
      </x:c>
      <x:c r="D52" s="16" t="str">
        <x:v>Adjacency SID and strict-path forwarding</x:v>
      </x:c>
      <x:c r="E52" s="16" t="str">
        <x:v>Configure, explain, verify, break, and restore adjacency sid and strict-path forwarding on IOS XR.</x:v>
      </x:c>
      <x:c r="F52" s="16" t="str">
        <x:v>4–6 XR nodes</x:v>
      </x:c>
      <x:c r="G52" s="16" t="n">
        <x:v>4</x:v>
      </x:c>
      <x:c r="H52" s="16" t="str">
        <x:v>Advanced</x:v>
      </x:c>
      <x:c r="I52" s="16" t="str">
        <x:v>Core</x:v>
      </x:c>
      <x:c r="J52" s="16" t="str">
        <x:v>LAB-047</x:v>
      </x:c>
      <x:c r="K52" s="16" t="str">
        <x:v>Not Started</x:v>
      </x:c>
      <x:c r="L52" s="16" t="n">
        <x:v>0</x:v>
      </x:c>
      <x:c r="M52" s="16" t="str"/>
      <x:c r="N52" s="33" t="str"/>
      <x:c r="O52" s="16" t="str">
        <x:v>Configs; control-plane output; forwarding/traffic proof; fault + root cause; pre/post/rollback</x:v>
      </x:c>
      <x:c r="P52" s="16" t="str"/>
      <x:c r="Q52" s="16" t="str">
        <x:v>Phase 5</x:v>
      </x:c>
    </x:row>
    <x:row r="53" ht="108" hidden="0" customHeight="1">
      <x:c r="A53" s="16" t="str">
        <x:v>LAB-049</x:v>
      </x:c>
      <x:c r="B53" s="16" t="n">
        <x:v>5</x:v>
      </x:c>
      <x:c r="C53" s="16" t="str">
        <x:v>Segment Routing MPLS &amp; SR-TE</x:v>
      </x:c>
      <x:c r="D53" s="16" t="str">
        <x:v>SR-TE policy with explicit segment list</x:v>
      </x:c>
      <x:c r="E53" s="16" t="str">
        <x:v>Configure, explain, verify, break, and restore sr-te policy with explicit segment list on IOS XR.</x:v>
      </x:c>
      <x:c r="F53" s="16" t="str">
        <x:v>4–6 XR nodes</x:v>
      </x:c>
      <x:c r="G53" s="16" t="n">
        <x:v>4</x:v>
      </x:c>
      <x:c r="H53" s="16" t="str">
        <x:v>Advanced</x:v>
      </x:c>
      <x:c r="I53" s="16" t="str">
        <x:v>Core</x:v>
      </x:c>
      <x:c r="J53" s="16" t="str">
        <x:v>LAB-048</x:v>
      </x:c>
      <x:c r="K53" s="16" t="str">
        <x:v>Not Started</x:v>
      </x:c>
      <x:c r="L53" s="16" t="n">
        <x:v>0</x:v>
      </x:c>
      <x:c r="M53" s="16" t="str"/>
      <x:c r="N53" s="33" t="str"/>
      <x:c r="O53" s="16" t="str">
        <x:v>Configs; control-plane output; forwarding/traffic proof; fault + root cause; pre/post/rollback</x:v>
      </x:c>
      <x:c r="P53" s="16" t="str"/>
      <x:c r="Q53" s="16" t="str">
        <x:v>Phase 5</x:v>
      </x:c>
    </x:row>
    <x:row r="54" ht="108" hidden="0" customHeight="1">
      <x:c r="A54" s="16" t="str">
        <x:v>LAB-050</x:v>
      </x:c>
      <x:c r="B54" s="16" t="n">
        <x:v>5</x:v>
      </x:c>
      <x:c r="C54" s="16" t="str">
        <x:v>Segment Routing MPLS &amp; SR-TE</x:v>
      </x:c>
      <x:c r="D54" s="16" t="str">
        <x:v>SR-TE dynamic candidate path</x:v>
      </x:c>
      <x:c r="E54" s="16" t="str">
        <x:v>Configure, explain, verify, break, and restore sr-te dynamic candidate path on IOS XR.</x:v>
      </x:c>
      <x:c r="F54" s="16" t="str">
        <x:v>4–6 XR nodes</x:v>
      </x:c>
      <x:c r="G54" s="16" t="n">
        <x:v>4</x:v>
      </x:c>
      <x:c r="H54" s="16" t="str">
        <x:v>Advanced</x:v>
      </x:c>
      <x:c r="I54" s="16" t="str">
        <x:v>Core</x:v>
      </x:c>
      <x:c r="J54" s="16" t="str">
        <x:v>LAB-049</x:v>
      </x:c>
      <x:c r="K54" s="16" t="str">
        <x:v>Not Started</x:v>
      </x:c>
      <x:c r="L54" s="16" t="n">
        <x:v>0</x:v>
      </x:c>
      <x:c r="M54" s="16" t="str"/>
      <x:c r="N54" s="33" t="str"/>
      <x:c r="O54" s="16" t="str">
        <x:v>Configs; control-plane output; forwarding/traffic proof; fault + root cause; pre/post/rollback</x:v>
      </x:c>
      <x:c r="P54" s="16" t="str"/>
      <x:c r="Q54" s="16" t="str">
        <x:v>Phase 5</x:v>
      </x:c>
    </x:row>
    <x:row r="55" ht="132" hidden="0" customHeight="1">
      <x:c r="A55" s="16" t="str">
        <x:v>LAB-051</x:v>
      </x:c>
      <x:c r="B55" s="16" t="n">
        <x:v>5</x:v>
      </x:c>
      <x:c r="C55" s="16" t="str">
        <x:v>Segment Routing MPLS &amp; SR-TE</x:v>
      </x:c>
      <x:c r="D55" s="16" t="str">
        <x:v>BGP color extended community and ODN steering</x:v>
      </x:c>
      <x:c r="E55" s="16" t="str">
        <x:v>Configure, explain, verify, break, and restore bgp color extended community and odn steering on IOS XR.</x:v>
      </x:c>
      <x:c r="F55" s="16" t="str">
        <x:v>4–6 XR nodes</x:v>
      </x:c>
      <x:c r="G55" s="16" t="n">
        <x:v>6</x:v>
      </x:c>
      <x:c r="H55" s="16" t="str">
        <x:v>Expert</x:v>
      </x:c>
      <x:c r="I55" s="16" t="str">
        <x:v>Core</x:v>
      </x:c>
      <x:c r="J55" s="16" t="str">
        <x:v>LAB-050</x:v>
      </x:c>
      <x:c r="K55" s="16" t="str">
        <x:v>Not Started</x:v>
      </x:c>
      <x:c r="L55" s="16" t="n">
        <x:v>0</x:v>
      </x:c>
      <x:c r="M55" s="16" t="str"/>
      <x:c r="N55" s="33" t="str"/>
      <x:c r="O55" s="16" t="str">
        <x:v>Configs; control-plane output; forwarding/traffic proof; fault + root cause; pre/post/rollback</x:v>
      </x:c>
      <x:c r="P55" s="16" t="str"/>
      <x:c r="Q55" s="16" t="str">
        <x:v>Phase 5</x:v>
      </x:c>
    </x:row>
    <x:row r="56" ht="120" hidden="0" customHeight="1">
      <x:c r="A56" s="16" t="str">
        <x:v>LAB-052</x:v>
      </x:c>
      <x:c r="B56" s="16" t="n">
        <x:v>5</x:v>
      </x:c>
      <x:c r="C56" s="16" t="str">
        <x:v>Segment Routing MPLS &amp; SR-TE</x:v>
      </x:c>
      <x:c r="D56" s="16" t="str">
        <x:v>PCE/PCEP path computation workflow</x:v>
      </x:c>
      <x:c r="E56" s="16" t="str">
        <x:v>Configure, explain, verify, break, and restore pce/pcep path computation workflow on IOS XR.</x:v>
      </x:c>
      <x:c r="F56" s="16" t="str">
        <x:v>4–6 XR nodes</x:v>
      </x:c>
      <x:c r="G56" s="16" t="n">
        <x:v>4</x:v>
      </x:c>
      <x:c r="H56" s="16" t="str">
        <x:v>Advanced</x:v>
      </x:c>
      <x:c r="I56" s="16" t="str">
        <x:v>Core</x:v>
      </x:c>
      <x:c r="J56" s="16" t="str">
        <x:v>LAB-051</x:v>
      </x:c>
      <x:c r="K56" s="16" t="str">
        <x:v>Not Started</x:v>
      </x:c>
      <x:c r="L56" s="16" t="n">
        <x:v>0</x:v>
      </x:c>
      <x:c r="M56" s="16" t="str"/>
      <x:c r="N56" s="33" t="str"/>
      <x:c r="O56" s="16" t="str">
        <x:v>Configs; control-plane output; forwarding/traffic proof; fault + root cause; pre/post/rollback</x:v>
      </x:c>
      <x:c r="P56" s="16" t="str"/>
      <x:c r="Q56" s="16" t="str">
        <x:v>Phase 5</x:v>
      </x:c>
    </x:row>
    <x:row r="57" ht="108" hidden="0" customHeight="1">
      <x:c r="A57" s="16" t="str">
        <x:v>LAB-053</x:v>
      </x:c>
      <x:c r="B57" s="16" t="n">
        <x:v>5</x:v>
      </x:c>
      <x:c r="C57" s="16" t="str">
        <x:v>Segment Routing MPLS &amp; SR-TE</x:v>
      </x:c>
      <x:c r="D57" s="16" t="str">
        <x:v>TI-LFA link protection</x:v>
      </x:c>
      <x:c r="E57" s="16" t="str">
        <x:v>Configure, explain, verify, break, and restore ti-lfa link protection on IOS XR.</x:v>
      </x:c>
      <x:c r="F57" s="16" t="str">
        <x:v>4–6 XR nodes</x:v>
      </x:c>
      <x:c r="G57" s="16" t="n">
        <x:v>4</x:v>
      </x:c>
      <x:c r="H57" s="16" t="str">
        <x:v>Advanced</x:v>
      </x:c>
      <x:c r="I57" s="16" t="str">
        <x:v>Core</x:v>
      </x:c>
      <x:c r="J57" s="16" t="str">
        <x:v>LAB-052</x:v>
      </x:c>
      <x:c r="K57" s="16" t="str">
        <x:v>Not Started</x:v>
      </x:c>
      <x:c r="L57" s="16" t="n">
        <x:v>0</x:v>
      </x:c>
      <x:c r="M57" s="16" t="str"/>
      <x:c r="N57" s="33" t="str"/>
      <x:c r="O57" s="16" t="str">
        <x:v>Configs; control-plane output; forwarding/traffic proof; fault + root cause; pre/post/rollback</x:v>
      </x:c>
      <x:c r="P57" s="16" t="str"/>
      <x:c r="Q57" s="16" t="str">
        <x:v>Phase 5</x:v>
      </x:c>
    </x:row>
    <x:row r="58" ht="108" hidden="0" customHeight="1">
      <x:c r="A58" s="16" t="str">
        <x:v>LAB-054</x:v>
      </x:c>
      <x:c r="B58" s="16" t="n">
        <x:v>5</x:v>
      </x:c>
      <x:c r="C58" s="16" t="str">
        <x:v>Segment Routing MPLS &amp; SR-TE</x:v>
      </x:c>
      <x:c r="D58" s="16" t="str">
        <x:v>TI-LFA node and SRLG protection</x:v>
      </x:c>
      <x:c r="E58" s="16" t="str">
        <x:v>Configure, explain, verify, break, and restore ti-lfa node and srlg protection on IOS XR.</x:v>
      </x:c>
      <x:c r="F58" s="16" t="str">
        <x:v>4–6 XR nodes</x:v>
      </x:c>
      <x:c r="G58" s="16" t="n">
        <x:v>4</x:v>
      </x:c>
      <x:c r="H58" s="16" t="str">
        <x:v>Advanced</x:v>
      </x:c>
      <x:c r="I58" s="16" t="str">
        <x:v>Core</x:v>
      </x:c>
      <x:c r="J58" s="16" t="str">
        <x:v>LAB-053</x:v>
      </x:c>
      <x:c r="K58" s="16" t="str">
        <x:v>Not Started</x:v>
      </x:c>
      <x:c r="L58" s="16" t="n">
        <x:v>0</x:v>
      </x:c>
      <x:c r="M58" s="16" t="str"/>
      <x:c r="N58" s="33" t="str"/>
      <x:c r="O58" s="16" t="str">
        <x:v>Configs; control-plane output; forwarding/traffic proof; fault + root cause; pre/post/rollback</x:v>
      </x:c>
      <x:c r="P58" s="16" t="str"/>
      <x:c r="Q58" s="16" t="str">
        <x:v>Phase 5</x:v>
      </x:c>
    </x:row>
    <x:row r="59" ht="120" hidden="0" customHeight="1">
      <x:c r="A59" s="16" t="str">
        <x:v>LAB-055</x:v>
      </x:c>
      <x:c r="B59" s="16" t="n">
        <x:v>5</x:v>
      </x:c>
      <x:c r="C59" s="16" t="str">
        <x:v>Segment Routing MPLS &amp; SR-TE</x:v>
      </x:c>
      <x:c r="D59" s="16" t="str">
        <x:v>SR flexible algorithm fundamentals</x:v>
      </x:c>
      <x:c r="E59" s="16" t="str">
        <x:v>Configure, explain, verify, break, and restore sr flexible algorithm fundamentals on IOS XR.</x:v>
      </x:c>
      <x:c r="F59" s="16" t="str">
        <x:v>4–6 XR nodes</x:v>
      </x:c>
      <x:c r="G59" s="16" t="n">
        <x:v>6</x:v>
      </x:c>
      <x:c r="H59" s="16" t="str">
        <x:v>Expert</x:v>
      </x:c>
      <x:c r="I59" s="16" t="str">
        <x:v>Core</x:v>
      </x:c>
      <x:c r="J59" s="16" t="str">
        <x:v>LAB-054</x:v>
      </x:c>
      <x:c r="K59" s="16" t="str">
        <x:v>Not Started</x:v>
      </x:c>
      <x:c r="L59" s="16" t="n">
        <x:v>0</x:v>
      </x:c>
      <x:c r="M59" s="16" t="str"/>
      <x:c r="N59" s="33" t="str"/>
      <x:c r="O59" s="16" t="str">
        <x:v>Configs; control-plane output; forwarding/traffic proof; fault + root cause; pre/post/rollback</x:v>
      </x:c>
      <x:c r="P59" s="16" t="str"/>
      <x:c r="Q59" s="16" t="str">
        <x:v>Phase 5</x:v>
      </x:c>
    </x:row>
    <x:row r="60" ht="120" hidden="0" customHeight="1">
      <x:c r="A60" s="16" t="str">
        <x:v>LAB-056</x:v>
      </x:c>
      <x:c r="B60" s="16" t="n">
        <x:v>5</x:v>
      </x:c>
      <x:c r="C60" s="16" t="str">
        <x:v>Segment Routing MPLS &amp; SR-TE</x:v>
      </x:c>
      <x:c r="D60" s="16" t="str">
        <x:v>SR policy failure and fallback behavior</x:v>
      </x:c>
      <x:c r="E60" s="16" t="str">
        <x:v>Configure, explain, verify, break, and restore sr policy failure and fallback behavior on IOS XR.</x:v>
      </x:c>
      <x:c r="F60" s="16" t="str">
        <x:v>4–6 XR nodes</x:v>
      </x:c>
      <x:c r="G60" s="16" t="n">
        <x:v>4</x:v>
      </x:c>
      <x:c r="H60" s="16" t="str">
        <x:v>Advanced</x:v>
      </x:c>
      <x:c r="I60" s="16" t="str">
        <x:v>Core</x:v>
      </x:c>
      <x:c r="J60" s="16" t="str">
        <x:v>LAB-055</x:v>
      </x:c>
      <x:c r="K60" s="16" t="str">
        <x:v>Not Started</x:v>
      </x:c>
      <x:c r="L60" s="16" t="n">
        <x:v>0</x:v>
      </x:c>
      <x:c r="M60" s="16" t="str"/>
      <x:c r="N60" s="33" t="str"/>
      <x:c r="O60" s="16" t="str">
        <x:v>Configs; control-plane output; forwarding/traffic proof; fault + root cause; pre/post/rollback</x:v>
      </x:c>
      <x:c r="P60" s="16" t="str"/>
      <x:c r="Q60" s="16" t="str">
        <x:v>Phase 5</x:v>
      </x:c>
    </x:row>
    <x:row r="61" ht="108" hidden="0" customHeight="1">
      <x:c r="A61" s="16" t="str">
        <x:v>LAB-057</x:v>
      </x:c>
      <x:c r="B61" s="16" t="n">
        <x:v>6</x:v>
      </x:c>
      <x:c r="C61" s="16" t="str">
        <x:v>L3VPN &amp; Inter-AS</x:v>
      </x:c>
      <x:c r="D61" s="16" t="str">
        <x:v>Basic IPv4 L3VPN with MP-BGP</x:v>
      </x:c>
      <x:c r="E61" s="16" t="str">
        <x:v>Configure, explain, verify, break, and restore basic ipv4 l3vpn with mp-bgp on IOS XR.</x:v>
      </x:c>
      <x:c r="F61" s="16" t="str">
        <x:v>4–6 XR nodes</x:v>
      </x:c>
      <x:c r="G61" s="16" t="n">
        <x:v>4</x:v>
      </x:c>
      <x:c r="H61" s="16" t="str">
        <x:v>Advanced</x:v>
      </x:c>
      <x:c r="I61" s="16" t="str">
        <x:v>Core</x:v>
      </x:c>
      <x:c r="J61" s="16" t="str"/>
      <x:c r="K61" s="16" t="str">
        <x:v>Not Started</x:v>
      </x:c>
      <x:c r="L61" s="16" t="n">
        <x:v>0</x:v>
      </x:c>
      <x:c r="M61" s="16" t="str"/>
      <x:c r="N61" s="33" t="str"/>
      <x:c r="O61" s="16" t="str">
        <x:v>Configs; control-plane output; forwarding/traffic proof; fault + root cause; pre/post/rollback</x:v>
      </x:c>
      <x:c r="P61" s="16" t="str"/>
      <x:c r="Q61" s="16" t="str">
        <x:v>Phase 6</x:v>
      </x:c>
    </x:row>
    <x:row r="62" ht="108" hidden="0" customHeight="1">
      <x:c r="A62" s="16" t="str">
        <x:v>LAB-058</x:v>
      </x:c>
      <x:c r="B62" s="16" t="n">
        <x:v>6</x:v>
      </x:c>
      <x:c r="C62" s="16" t="str">
        <x:v>L3VPN &amp; Inter-AS</x:v>
      </x:c>
      <x:c r="D62" s="16" t="str">
        <x:v>Dual-stack L3VPN and VPNv6</x:v>
      </x:c>
      <x:c r="E62" s="16" t="str">
        <x:v>Configure, explain, verify, break, and restore dual-stack l3vpn and vpnv6 on IOS XR.</x:v>
      </x:c>
      <x:c r="F62" s="16" t="str">
        <x:v>4–6 XR nodes</x:v>
      </x:c>
      <x:c r="G62" s="16" t="n">
        <x:v>4</x:v>
      </x:c>
      <x:c r="H62" s="16" t="str">
        <x:v>Advanced</x:v>
      </x:c>
      <x:c r="I62" s="16" t="str">
        <x:v>Core</x:v>
      </x:c>
      <x:c r="J62" s="16" t="str">
        <x:v>LAB-057</x:v>
      </x:c>
      <x:c r="K62" s="16" t="str">
        <x:v>Not Started</x:v>
      </x:c>
      <x:c r="L62" s="16" t="n">
        <x:v>0</x:v>
      </x:c>
      <x:c r="M62" s="16" t="str"/>
      <x:c r="N62" s="33" t="str"/>
      <x:c r="O62" s="16" t="str">
        <x:v>Configs; control-plane output; forwarding/traffic proof; fault + root cause; pre/post/rollback</x:v>
      </x:c>
      <x:c r="P62" s="16" t="str"/>
      <x:c r="Q62" s="16" t="str">
        <x:v>Phase 6</x:v>
      </x:c>
    </x:row>
    <x:row r="63" ht="108" hidden="0" customHeight="1">
      <x:c r="A63" s="16" t="str">
        <x:v>LAB-059</x:v>
      </x:c>
      <x:c r="B63" s="16" t="n">
        <x:v>6</x:v>
      </x:c>
      <x:c r="C63" s="16" t="str">
        <x:v>L3VPN &amp; Inter-AS</x:v>
      </x:c>
      <x:c r="D63" s="16" t="str">
        <x:v>RD/RT design and route-target constraints</x:v>
      </x:c>
      <x:c r="E63" s="16" t="str">
        <x:v>Configure, explain, verify, break, and restore rd/rt design and route-target constraints on IOS XR.</x:v>
      </x:c>
      <x:c r="F63" s="16" t="str">
        <x:v>4–6 XR nodes</x:v>
      </x:c>
      <x:c r="G63" s="16" t="n">
        <x:v>4</x:v>
      </x:c>
      <x:c r="H63" s="16" t="str">
        <x:v>Advanced</x:v>
      </x:c>
      <x:c r="I63" s="16" t="str">
        <x:v>Core</x:v>
      </x:c>
      <x:c r="J63" s="16" t="str">
        <x:v>LAB-058</x:v>
      </x:c>
      <x:c r="K63" s="16" t="str">
        <x:v>Not Started</x:v>
      </x:c>
      <x:c r="L63" s="16" t="n">
        <x:v>0</x:v>
      </x:c>
      <x:c r="M63" s="16" t="str"/>
      <x:c r="N63" s="33" t="str"/>
      <x:c r="O63" s="16" t="str">
        <x:v>Configs; control-plane output; forwarding/traffic proof; fault + root cause; pre/post/rollback</x:v>
      </x:c>
      <x:c r="P63" s="16" t="str"/>
      <x:c r="Q63" s="16" t="str">
        <x:v>Phase 6</x:v>
      </x:c>
    </x:row>
    <x:row r="64" ht="120" hidden="0" customHeight="1">
      <x:c r="A64" s="16" t="str">
        <x:v>LAB-060</x:v>
      </x:c>
      <x:c r="B64" s="16" t="n">
        <x:v>6</x:v>
      </x:c>
      <x:c r="C64" s="16" t="str">
        <x:v>L3VPN &amp; Inter-AS</x:v>
      </x:c>
      <x:c r="D64" s="16" t="str">
        <x:v>PE-CE static and connected routing</x:v>
      </x:c>
      <x:c r="E64" s="16" t="str">
        <x:v>Configure, explain, verify, break, and restore pe-ce static and connected routing on IOS XR.</x:v>
      </x:c>
      <x:c r="F64" s="16" t="str">
        <x:v>4–6 XR nodes</x:v>
      </x:c>
      <x:c r="G64" s="16" t="n">
        <x:v>6</x:v>
      </x:c>
      <x:c r="H64" s="16" t="str">
        <x:v>Expert</x:v>
      </x:c>
      <x:c r="I64" s="16" t="str">
        <x:v>Core</x:v>
      </x:c>
      <x:c r="J64" s="16" t="str">
        <x:v>LAB-059</x:v>
      </x:c>
      <x:c r="K64" s="16" t="str">
        <x:v>Not Started</x:v>
      </x:c>
      <x:c r="L64" s="16" t="n">
        <x:v>0</x:v>
      </x:c>
      <x:c r="M64" s="16" t="str"/>
      <x:c r="N64" s="33" t="str"/>
      <x:c r="O64" s="16" t="str">
        <x:v>Configs; control-plane output; forwarding/traffic proof; fault + root cause; pre/post/rollback</x:v>
      </x:c>
      <x:c r="P64" s="16" t="str"/>
      <x:c r="Q64" s="16" t="str">
        <x:v>Phase 6</x:v>
      </x:c>
    </x:row>
    <x:row r="65" ht="132" hidden="0" customHeight="1">
      <x:c r="A65" s="16" t="str">
        <x:v>LAB-061</x:v>
      </x:c>
      <x:c r="B65" s="16" t="n">
        <x:v>6</x:v>
      </x:c>
      <x:c r="C65" s="16" t="str">
        <x:v>L3VPN &amp; Inter-AS</x:v>
      </x:c>
      <x:c r="D65" s="16" t="str">
        <x:v>PE-CE OSPF with sham-link/domain behavior</x:v>
      </x:c>
      <x:c r="E65" s="16" t="str">
        <x:v>Configure, explain, verify, break, and restore pe-ce ospf with sham-link/domain behavior on IOS XR.</x:v>
      </x:c>
      <x:c r="F65" s="16" t="str">
        <x:v>4–6 XR nodes</x:v>
      </x:c>
      <x:c r="G65" s="16" t="n">
        <x:v>4</x:v>
      </x:c>
      <x:c r="H65" s="16" t="str">
        <x:v>Advanced</x:v>
      </x:c>
      <x:c r="I65" s="16" t="str">
        <x:v>Core</x:v>
      </x:c>
      <x:c r="J65" s="16" t="str">
        <x:v>LAB-060</x:v>
      </x:c>
      <x:c r="K65" s="16" t="str">
        <x:v>Not Started</x:v>
      </x:c>
      <x:c r="L65" s="16" t="n">
        <x:v>0</x:v>
      </x:c>
      <x:c r="M65" s="16" t="str"/>
      <x:c r="N65" s="33" t="str"/>
      <x:c r="O65" s="16" t="str">
        <x:v>Configs; control-plane output; forwarding/traffic proof; fault + root cause; pre/post/rollback</x:v>
      </x:c>
      <x:c r="P65" s="16" t="str"/>
      <x:c r="Q65" s="16" t="str">
        <x:v>Phase 6</x:v>
      </x:c>
    </x:row>
    <x:row r="66" ht="132" hidden="0" customHeight="1">
      <x:c r="A66" s="16" t="str">
        <x:v>LAB-062</x:v>
      </x:c>
      <x:c r="B66" s="16" t="n">
        <x:v>6</x:v>
      </x:c>
      <x:c r="C66" s="16" t="str">
        <x:v>L3VPN &amp; Inter-AS</x:v>
      </x:c>
      <x:c r="D66" s="16" t="str">
        <x:v>PE-CE eBGP with AS override and allowas-in</x:v>
      </x:c>
      <x:c r="E66" s="16" t="str">
        <x:v>Configure, explain, verify, break, and restore pe-ce ebgp with as override and allowas-in on IOS XR.</x:v>
      </x:c>
      <x:c r="F66" s="16" t="str">
        <x:v>4–6 XR nodes</x:v>
      </x:c>
      <x:c r="G66" s="16" t="n">
        <x:v>4</x:v>
      </x:c>
      <x:c r="H66" s="16" t="str">
        <x:v>Advanced</x:v>
      </x:c>
      <x:c r="I66" s="16" t="str">
        <x:v>Core</x:v>
      </x:c>
      <x:c r="J66" s="16" t="str">
        <x:v>LAB-061</x:v>
      </x:c>
      <x:c r="K66" s="16" t="str">
        <x:v>Not Started</x:v>
      </x:c>
      <x:c r="L66" s="16" t="n">
        <x:v>0</x:v>
      </x:c>
      <x:c r="M66" s="16" t="str"/>
      <x:c r="N66" s="33" t="str"/>
      <x:c r="O66" s="16" t="str">
        <x:v>Configs; control-plane output; forwarding/traffic proof; fault + root cause; pre/post/rollback</x:v>
      </x:c>
      <x:c r="P66" s="16" t="str"/>
      <x:c r="Q66" s="16" t="str">
        <x:v>Phase 6</x:v>
      </x:c>
    </x:row>
    <x:row r="67" ht="120" hidden="0" customHeight="1">
      <x:c r="A67" s="16" t="str">
        <x:v>LAB-063</x:v>
      </x:c>
      <x:c r="B67" s="16" t="n">
        <x:v>6</x:v>
      </x:c>
      <x:c r="C67" s="16" t="str">
        <x:v>L3VPN &amp; Inter-AS</x:v>
      </x:c>
      <x:c r="D67" s="16" t="str">
        <x:v>PE-CE IS-IS or RIP service comparison</x:v>
      </x:c>
      <x:c r="E67" s="16" t="str">
        <x:v>Configure, explain, verify, break, and restore pe-ce is-is or rip service comparison on IOS XR.</x:v>
      </x:c>
      <x:c r="F67" s="16" t="str">
        <x:v>4–6 XR nodes</x:v>
      </x:c>
      <x:c r="G67" s="16" t="n">
        <x:v>4</x:v>
      </x:c>
      <x:c r="H67" s="16" t="str">
        <x:v>Advanced</x:v>
      </x:c>
      <x:c r="I67" s="16" t="str">
        <x:v>Core</x:v>
      </x:c>
      <x:c r="J67" s="16" t="str">
        <x:v>LAB-062</x:v>
      </x:c>
      <x:c r="K67" s="16" t="str">
        <x:v>Not Started</x:v>
      </x:c>
      <x:c r="L67" s="16" t="n">
        <x:v>0</x:v>
      </x:c>
      <x:c r="M67" s="16" t="str"/>
      <x:c r="N67" s="33" t="str"/>
      <x:c r="O67" s="16" t="str">
        <x:v>Configs; control-plane output; forwarding/traffic proof; fault + root cause; pre/post/rollback</x:v>
      </x:c>
      <x:c r="P67" s="16" t="str"/>
      <x:c r="Q67" s="16" t="str">
        <x:v>Phase 6</x:v>
      </x:c>
    </x:row>
    <x:row r="68" ht="132" hidden="0" customHeight="1">
      <x:c r="A68" s="16" t="str">
        <x:v>LAB-064</x:v>
      </x:c>
      <x:c r="B68" s="16" t="n">
        <x:v>6</x:v>
      </x:c>
      <x:c r="C68" s="16" t="str">
        <x:v>L3VPN &amp; Inter-AS</x:v>
      </x:c>
      <x:c r="D68" s="16" t="str">
        <x:v>Extranet route leaking with selective RT policy</x:v>
      </x:c>
      <x:c r="E68" s="16" t="str">
        <x:v>Configure, explain, verify, break, and restore extranet route leaking with selective rt policy on IOS XR.</x:v>
      </x:c>
      <x:c r="F68" s="16" t="str">
        <x:v>4–6 XR nodes</x:v>
      </x:c>
      <x:c r="G68" s="16" t="n">
        <x:v>6</x:v>
      </x:c>
      <x:c r="H68" s="16" t="str">
        <x:v>Expert</x:v>
      </x:c>
      <x:c r="I68" s="16" t="str">
        <x:v>Core</x:v>
      </x:c>
      <x:c r="J68" s="16" t="str">
        <x:v>LAB-063</x:v>
      </x:c>
      <x:c r="K68" s="16" t="str">
        <x:v>Not Started</x:v>
      </x:c>
      <x:c r="L68" s="16" t="n">
        <x:v>0</x:v>
      </x:c>
      <x:c r="M68" s="16" t="str"/>
      <x:c r="N68" s="33" t="str"/>
      <x:c r="O68" s="16" t="str">
        <x:v>Configs; control-plane output; forwarding/traffic proof; fault + root cause; pre/post/rollback</x:v>
      </x:c>
      <x:c r="P68" s="16" t="str"/>
      <x:c r="Q68" s="16" t="str">
        <x:v>Phase 6</x:v>
      </x:c>
    </x:row>
    <x:row r="69" ht="108" hidden="0" customHeight="1">
      <x:c r="A69" s="16" t="str">
        <x:v>LAB-065</x:v>
      </x:c>
      <x:c r="B69" s="16" t="n">
        <x:v>6</x:v>
      </x:c>
      <x:c r="C69" s="16" t="str">
        <x:v>L3VPN &amp; Inter-AS</x:v>
      </x:c>
      <x:c r="D69" s="16" t="str">
        <x:v>VRF route leaking via route-policy</x:v>
      </x:c>
      <x:c r="E69" s="16" t="str">
        <x:v>Configure, explain, verify, break, and restore vrf route leaking via route-policy on IOS XR.</x:v>
      </x:c>
      <x:c r="F69" s="16" t="str">
        <x:v>4–6 XR nodes</x:v>
      </x:c>
      <x:c r="G69" s="16" t="n">
        <x:v>4</x:v>
      </x:c>
      <x:c r="H69" s="16" t="str">
        <x:v>Advanced</x:v>
      </x:c>
      <x:c r="I69" s="16" t="str">
        <x:v>Core</x:v>
      </x:c>
      <x:c r="J69" s="16" t="str">
        <x:v>LAB-064</x:v>
      </x:c>
      <x:c r="K69" s="16" t="str">
        <x:v>Not Started</x:v>
      </x:c>
      <x:c r="L69" s="16" t="n">
        <x:v>0</x:v>
      </x:c>
      <x:c r="M69" s="16" t="str"/>
      <x:c r="N69" s="33" t="str"/>
      <x:c r="O69" s="16" t="str">
        <x:v>Configs; control-plane output; forwarding/traffic proof; fault + root cause; pre/post/rollback</x:v>
      </x:c>
      <x:c r="P69" s="16" t="str"/>
      <x:c r="Q69" s="16" t="str">
        <x:v>Phase 6</x:v>
      </x:c>
    </x:row>
    <x:row r="70" ht="120" hidden="0" customHeight="1">
      <x:c r="A70" s="16" t="str">
        <x:v>LAB-066</x:v>
      </x:c>
      <x:c r="B70" s="16" t="n">
        <x:v>6</x:v>
      </x:c>
      <x:c r="C70" s="16" t="str">
        <x:v>L3VPN &amp; Inter-AS</x:v>
      </x:c>
      <x:c r="D70" s="16" t="str">
        <x:v>Carrier Supporting Carrier concepts</x:v>
      </x:c>
      <x:c r="E70" s="16" t="str">
        <x:v>Configure, explain, verify, break, and restore carrier supporting carrier concepts on IOS XR.</x:v>
      </x:c>
      <x:c r="F70" s="16" t="str">
        <x:v>4–6 XR nodes</x:v>
      </x:c>
      <x:c r="G70" s="16" t="n">
        <x:v>4</x:v>
      </x:c>
      <x:c r="H70" s="16" t="str">
        <x:v>Advanced</x:v>
      </x:c>
      <x:c r="I70" s="16" t="str">
        <x:v>Core</x:v>
      </x:c>
      <x:c r="J70" s="16" t="str">
        <x:v>LAB-065</x:v>
      </x:c>
      <x:c r="K70" s="16" t="str">
        <x:v>Not Started</x:v>
      </x:c>
      <x:c r="L70" s="16" t="n">
        <x:v>0</x:v>
      </x:c>
      <x:c r="M70" s="16" t="str"/>
      <x:c r="N70" s="33" t="str"/>
      <x:c r="O70" s="16" t="str">
        <x:v>Configs; control-plane output; forwarding/traffic proof; fault + root cause; pre/post/rollback</x:v>
      </x:c>
      <x:c r="P70" s="16" t="str"/>
      <x:c r="Q70" s="16" t="str">
        <x:v>Phase 6</x:v>
      </x:c>
    </x:row>
    <x:row r="71" ht="108" hidden="0" customHeight="1">
      <x:c r="A71" s="16" t="str">
        <x:v>LAB-067</x:v>
      </x:c>
      <x:c r="B71" s="16" t="n">
        <x:v>6</x:v>
      </x:c>
      <x:c r="C71" s="16" t="str">
        <x:v>L3VPN &amp; Inter-AS</x:v>
      </x:c>
      <x:c r="D71" s="16" t="str">
        <x:v>Inter-AS Option A</x:v>
      </x:c>
      <x:c r="E71" s="16" t="str">
        <x:v>Configure, explain, verify, break, and restore inter-as option a on IOS XR.</x:v>
      </x:c>
      <x:c r="F71" s="16" t="str">
        <x:v>4–6 XR nodes</x:v>
      </x:c>
      <x:c r="G71" s="16" t="n">
        <x:v>4</x:v>
      </x:c>
      <x:c r="H71" s="16" t="str">
        <x:v>Advanced</x:v>
      </x:c>
      <x:c r="I71" s="16" t="str">
        <x:v>Core</x:v>
      </x:c>
      <x:c r="J71" s="16" t="str">
        <x:v>LAB-066</x:v>
      </x:c>
      <x:c r="K71" s="16" t="str">
        <x:v>Not Started</x:v>
      </x:c>
      <x:c r="L71" s="16" t="n">
        <x:v>0</x:v>
      </x:c>
      <x:c r="M71" s="16" t="str"/>
      <x:c r="N71" s="33" t="str"/>
      <x:c r="O71" s="16" t="str">
        <x:v>Configs; control-plane output; forwarding/traffic proof; fault + root cause; pre/post/rollback</x:v>
      </x:c>
      <x:c r="P71" s="16" t="str"/>
      <x:c r="Q71" s="16" t="str">
        <x:v>Phase 6</x:v>
      </x:c>
    </x:row>
    <x:row r="72" ht="108" hidden="0" customHeight="1">
      <x:c r="A72" s="16" t="str">
        <x:v>LAB-068</x:v>
      </x:c>
      <x:c r="B72" s="16" t="n">
        <x:v>6</x:v>
      </x:c>
      <x:c r="C72" s="16" t="str">
        <x:v>L3VPN &amp; Inter-AS</x:v>
      </x:c>
      <x:c r="D72" s="16" t="str">
        <x:v>Inter-AS Option B</x:v>
      </x:c>
      <x:c r="E72" s="16" t="str">
        <x:v>Configure, explain, verify, break, and restore inter-as option b on IOS XR.</x:v>
      </x:c>
      <x:c r="F72" s="16" t="str">
        <x:v>4–6 XR nodes</x:v>
      </x:c>
      <x:c r="G72" s="16" t="n">
        <x:v>6</x:v>
      </x:c>
      <x:c r="H72" s="16" t="str">
        <x:v>Expert</x:v>
      </x:c>
      <x:c r="I72" s="16" t="str">
        <x:v>Core</x:v>
      </x:c>
      <x:c r="J72" s="16" t="str">
        <x:v>LAB-067</x:v>
      </x:c>
      <x:c r="K72" s="16" t="str">
        <x:v>Not Started</x:v>
      </x:c>
      <x:c r="L72" s="16" t="n">
        <x:v>0</x:v>
      </x:c>
      <x:c r="M72" s="16" t="str"/>
      <x:c r="N72" s="33" t="str"/>
      <x:c r="O72" s="16" t="str">
        <x:v>Configs; control-plane output; forwarding/traffic proof; fault + root cause; pre/post/rollback</x:v>
      </x:c>
      <x:c r="P72" s="16" t="str"/>
      <x:c r="Q72" s="16" t="str">
        <x:v>Phase 6</x:v>
      </x:c>
    </x:row>
    <x:row r="73" ht="108" hidden="0" customHeight="1">
      <x:c r="A73" s="16" t="str">
        <x:v>LAB-069</x:v>
      </x:c>
      <x:c r="B73" s="16" t="n">
        <x:v>6</x:v>
      </x:c>
      <x:c r="C73" s="16" t="str">
        <x:v>L3VPN &amp; Inter-AS</x:v>
      </x:c>
      <x:c r="D73" s="16" t="str">
        <x:v>Inter-AS Option C</x:v>
      </x:c>
      <x:c r="E73" s="16" t="str">
        <x:v>Configure, explain, verify, break, and restore inter-as option c on IOS XR.</x:v>
      </x:c>
      <x:c r="F73" s="16" t="str">
        <x:v>4–6 XR nodes</x:v>
      </x:c>
      <x:c r="G73" s="16" t="n">
        <x:v>4</x:v>
      </x:c>
      <x:c r="H73" s="16" t="str">
        <x:v>Advanced</x:v>
      </x:c>
      <x:c r="I73" s="16" t="str">
        <x:v>Core</x:v>
      </x:c>
      <x:c r="J73" s="16" t="str">
        <x:v>LAB-068</x:v>
      </x:c>
      <x:c r="K73" s="16" t="str">
        <x:v>Not Started</x:v>
      </x:c>
      <x:c r="L73" s="16" t="n">
        <x:v>0</x:v>
      </x:c>
      <x:c r="M73" s="16" t="str"/>
      <x:c r="N73" s="33" t="str"/>
      <x:c r="O73" s="16" t="str">
        <x:v>Configs; control-plane output; forwarding/traffic proof; fault + root cause; pre/post/rollback</x:v>
      </x:c>
      <x:c r="P73" s="16" t="str"/>
      <x:c r="Q73" s="16" t="str">
        <x:v>Phase 6</x:v>
      </x:c>
    </x:row>
    <x:row r="74" ht="108" hidden="0" customHeight="1">
      <x:c r="A74" s="16" t="str">
        <x:v>LAB-070</x:v>
      </x:c>
      <x:c r="B74" s="16" t="n">
        <x:v>6</x:v>
      </x:c>
      <x:c r="C74" s="16" t="str">
        <x:v>L3VPN &amp; Inter-AS</x:v>
      </x:c>
      <x:c r="D74" s="16" t="str">
        <x:v>L3VPN over SR-MPLS transport</x:v>
      </x:c>
      <x:c r="E74" s="16" t="str">
        <x:v>Configure, explain, verify, break, and restore l3vpn over sr-mpls transport on IOS XR.</x:v>
      </x:c>
      <x:c r="F74" s="16" t="str">
        <x:v>4–6 XR nodes</x:v>
      </x:c>
      <x:c r="G74" s="16" t="n">
        <x:v>4</x:v>
      </x:c>
      <x:c r="H74" s="16" t="str">
        <x:v>Advanced</x:v>
      </x:c>
      <x:c r="I74" s="16" t="str">
        <x:v>Core</x:v>
      </x:c>
      <x:c r="J74" s="16" t="str">
        <x:v>LAB-069</x:v>
      </x:c>
      <x:c r="K74" s="16" t="str">
        <x:v>Not Started</x:v>
      </x:c>
      <x:c r="L74" s="16" t="n">
        <x:v>0</x:v>
      </x:c>
      <x:c r="M74" s="16" t="str"/>
      <x:c r="N74" s="33" t="str"/>
      <x:c r="O74" s="16" t="str">
        <x:v>Configs; control-plane output; forwarding/traffic proof; fault + root cause; pre/post/rollback</x:v>
      </x:c>
      <x:c r="P74" s="16" t="str"/>
      <x:c r="Q74" s="16" t="str">
        <x:v>Phase 6</x:v>
      </x:c>
    </x:row>
    <x:row r="75" ht="144" hidden="0" customHeight="1">
      <x:c r="A75" s="16" t="str">
        <x:v>LAB-071</x:v>
      </x:c>
      <x:c r="B75" s="16" t="n">
        <x:v>6</x:v>
      </x:c>
      <x:c r="C75" s="16" t="str">
        <x:v>L3VPN &amp; Inter-AS</x:v>
      </x:c>
      <x:c r="D75" s="16" t="str">
        <x:v>L3VPN convergence and per-prefix label behavior</x:v>
      </x:c>
      <x:c r="E75" s="16" t="str">
        <x:v>Configure, explain, verify, break, and restore l3vpn convergence and per-prefix label behavior on IOS XR.</x:v>
      </x:c>
      <x:c r="F75" s="16" t="str">
        <x:v>4–6 XR nodes</x:v>
      </x:c>
      <x:c r="G75" s="16" t="n">
        <x:v>4</x:v>
      </x:c>
      <x:c r="H75" s="16" t="str">
        <x:v>Advanced</x:v>
      </x:c>
      <x:c r="I75" s="16" t="str">
        <x:v>Core</x:v>
      </x:c>
      <x:c r="J75" s="16" t="str">
        <x:v>LAB-070</x:v>
      </x:c>
      <x:c r="K75" s="16" t="str">
        <x:v>Not Started</x:v>
      </x:c>
      <x:c r="L75" s="16" t="n">
        <x:v>0</x:v>
      </x:c>
      <x:c r="M75" s="16" t="str"/>
      <x:c r="N75" s="33" t="str"/>
      <x:c r="O75" s="16" t="str">
        <x:v>Configs; control-plane output; forwarding/traffic proof; fault + root cause; pre/post/rollback</x:v>
      </x:c>
      <x:c r="P75" s="16" t="str"/>
      <x:c r="Q75" s="16" t="str">
        <x:v>Phase 6</x:v>
      </x:c>
    </x:row>
    <x:row r="76" ht="108" hidden="0" customHeight="1">
      <x:c r="A76" s="16" t="str">
        <x:v>LAB-072</x:v>
      </x:c>
      <x:c r="B76" s="16" t="n">
        <x:v>7</x:v>
      </x:c>
      <x:c r="C76" s="16" t="str">
        <x:v>L2VPN, EVPN &amp; Multihoming</x:v>
      </x:c>
      <x:c r="D76" s="16" t="str">
        <x:v>VPWS/xconnect over LDP</x:v>
      </x:c>
      <x:c r="E76" s="16" t="str">
        <x:v>Configure, explain, verify, break, and restore vpws/xconnect over ldp on IOS XR.</x:v>
      </x:c>
      <x:c r="F76" s="16" t="str">
        <x:v>4 PE + 2 P + CE/host nodes</x:v>
      </x:c>
      <x:c r="G76" s="16" t="n">
        <x:v>4</x:v>
      </x:c>
      <x:c r="H76" s="16" t="str">
        <x:v>Advanced</x:v>
      </x:c>
      <x:c r="I76" s="16" t="str">
        <x:v>Core</x:v>
      </x:c>
      <x:c r="J76" s="16" t="str"/>
      <x:c r="K76" s="16" t="str">
        <x:v>Not Started</x:v>
      </x:c>
      <x:c r="L76" s="16" t="n">
        <x:v>0</x:v>
      </x:c>
      <x:c r="M76" s="16" t="str"/>
      <x:c r="N76" s="33" t="str"/>
      <x:c r="O76" s="16" t="str">
        <x:v>Configs; control-plane output; forwarding/traffic proof; fault + root cause; pre/post/rollback</x:v>
      </x:c>
      <x:c r="P76" s="16" t="str"/>
      <x:c r="Q76" s="16" t="str">
        <x:v>Phase 7</x:v>
      </x:c>
    </x:row>
    <x:row r="77" ht="132" hidden="0" customHeight="1">
      <x:c r="A77" s="16" t="str">
        <x:v>LAB-073</x:v>
      </x:c>
      <x:c r="B77" s="16" t="n">
        <x:v>7</x:v>
      </x:c>
      <x:c r="C77" s="16" t="str">
        <x:v>L2VPN, EVPN &amp; Multihoming</x:v>
      </x:c>
      <x:c r="D77" s="16" t="str">
        <x:v>VPWS control word, MTU and status signaling</x:v>
      </x:c>
      <x:c r="E77" s="16" t="str">
        <x:v>Configure, explain, verify, break, and restore vpws control word, mtu and status signaling on IOS XR.</x:v>
      </x:c>
      <x:c r="F77" s="16" t="str">
        <x:v>4 PE + 2 P + CE/host nodes</x:v>
      </x:c>
      <x:c r="G77" s="16" t="n">
        <x:v>4</x:v>
      </x:c>
      <x:c r="H77" s="16" t="str">
        <x:v>Advanced</x:v>
      </x:c>
      <x:c r="I77" s="16" t="str">
        <x:v>Core</x:v>
      </x:c>
      <x:c r="J77" s="16" t="str">
        <x:v>LAB-072</x:v>
      </x:c>
      <x:c r="K77" s="16" t="str">
        <x:v>Not Started</x:v>
      </x:c>
      <x:c r="L77" s="16" t="n">
        <x:v>0</x:v>
      </x:c>
      <x:c r="M77" s="16" t="str"/>
      <x:c r="N77" s="33" t="str"/>
      <x:c r="O77" s="16" t="str">
        <x:v>Configs; control-plane output; forwarding/traffic proof; fault + root cause; pre/post/rollback</x:v>
      </x:c>
      <x:c r="P77" s="16" t="str"/>
      <x:c r="Q77" s="16" t="str">
        <x:v>Phase 7</x:v>
      </x:c>
    </x:row>
    <x:row r="78" ht="108" hidden="0" customHeight="1">
      <x:c r="A78" s="16" t="str">
        <x:v>LAB-074</x:v>
      </x:c>
      <x:c r="B78" s="16" t="n">
        <x:v>7</x:v>
      </x:c>
      <x:c r="C78" s="16" t="str">
        <x:v>L2VPN, EVPN &amp; Multihoming</x:v>
      </x:c>
      <x:c r="D78" s="16" t="str">
        <x:v>VPLS bridge-domain and split horizon</x:v>
      </x:c>
      <x:c r="E78" s="16" t="str">
        <x:v>Configure, explain, verify, break, and restore vpls bridge-domain and split horizon on IOS XR.</x:v>
      </x:c>
      <x:c r="F78" s="16" t="str">
        <x:v>4 PE + 2 P + CE/host nodes</x:v>
      </x:c>
      <x:c r="G78" s="16" t="n">
        <x:v>4</x:v>
      </x:c>
      <x:c r="H78" s="16" t="str">
        <x:v>Advanced</x:v>
      </x:c>
      <x:c r="I78" s="16" t="str">
        <x:v>Core</x:v>
      </x:c>
      <x:c r="J78" s="16" t="str">
        <x:v>LAB-073</x:v>
      </x:c>
      <x:c r="K78" s="16" t="str">
        <x:v>Not Started</x:v>
      </x:c>
      <x:c r="L78" s="16" t="n">
        <x:v>0</x:v>
      </x:c>
      <x:c r="M78" s="16" t="str"/>
      <x:c r="N78" s="33" t="str"/>
      <x:c r="O78" s="16" t="str">
        <x:v>Configs; control-plane output; forwarding/traffic proof; fault + root cause; pre/post/rollback</x:v>
      </x:c>
      <x:c r="P78" s="16" t="str"/>
      <x:c r="Q78" s="16" t="str">
        <x:v>Phase 7</x:v>
      </x:c>
    </x:row>
    <x:row r="79" ht="120" hidden="0" customHeight="1">
      <x:c r="A79" s="16" t="str">
        <x:v>LAB-075</x:v>
      </x:c>
      <x:c r="B79" s="16" t="n">
        <x:v>7</x:v>
      </x:c>
      <x:c r="C79" s="16" t="str">
        <x:v>L2VPN, EVPN &amp; Multihoming</x:v>
      </x:c>
      <x:c r="D79" s="16" t="str">
        <x:v>VPLS multihoming and pseudowire redundancy</x:v>
      </x:c>
      <x:c r="E79" s="16" t="str">
        <x:v>Configure, explain, verify, break, and restore vpls multihoming and pseudowire redundancy on IOS XR.</x:v>
      </x:c>
      <x:c r="F79" s="16" t="str">
        <x:v>4 PE + 2 P + CE/host nodes</x:v>
      </x:c>
      <x:c r="G79" s="16" t="n">
        <x:v>6</x:v>
      </x:c>
      <x:c r="H79" s="16" t="str">
        <x:v>Expert</x:v>
      </x:c>
      <x:c r="I79" s="16" t="str">
        <x:v>Core</x:v>
      </x:c>
      <x:c r="J79" s="16" t="str">
        <x:v>LAB-074</x:v>
      </x:c>
      <x:c r="K79" s="16" t="str">
        <x:v>Not Started</x:v>
      </x:c>
      <x:c r="L79" s="16" t="n">
        <x:v>0</x:v>
      </x:c>
      <x:c r="M79" s="16" t="str"/>
      <x:c r="N79" s="33" t="str"/>
      <x:c r="O79" s="16" t="str">
        <x:v>Configs; control-plane output; forwarding/traffic proof; fault + root cause; pre/post/rollback</x:v>
      </x:c>
      <x:c r="P79" s="16" t="str"/>
      <x:c r="Q79" s="16" t="str">
        <x:v>Phase 7</x:v>
      </x:c>
    </x:row>
    <x:row r="80" ht="132" hidden="0" customHeight="1">
      <x:c r="A80" s="16" t="str">
        <x:v>LAB-076</x:v>
      </x:c>
      <x:c r="B80" s="16" t="n">
        <x:v>7</x:v>
      </x:c>
      <x:c r="C80" s="16" t="str">
        <x:v>L2VPN, EVPN &amp; Multihoming</x:v>
      </x:c>
      <x:c r="D80" s="16" t="str">
        <x:v>EVPN route-type 2 MAC/IP advertisement</x:v>
      </x:c>
      <x:c r="E80" s="16" t="str">
        <x:v>Configure, explain, verify, break, and restore evpn route-type 2 mac/ip advertisement on IOS XR.</x:v>
      </x:c>
      <x:c r="F80" s="16" t="str">
        <x:v>4 PE + 2 P + CE/host nodes</x:v>
      </x:c>
      <x:c r="G80" s="16" t="n">
        <x:v>4</x:v>
      </x:c>
      <x:c r="H80" s="16" t="str">
        <x:v>Advanced</x:v>
      </x:c>
      <x:c r="I80" s="16" t="str">
        <x:v>Core</x:v>
      </x:c>
      <x:c r="J80" s="16" t="str">
        <x:v>LAB-075</x:v>
      </x:c>
      <x:c r="K80" s="16" t="str">
        <x:v>Not Started</x:v>
      </x:c>
      <x:c r="L80" s="16" t="n">
        <x:v>0</x:v>
      </x:c>
      <x:c r="M80" s="16" t="str"/>
      <x:c r="N80" s="33" t="str"/>
      <x:c r="O80" s="16" t="str">
        <x:v>Configs; control-plane output; forwarding/traffic proof; fault + root cause; pre/post/rollback</x:v>
      </x:c>
      <x:c r="P80" s="16" t="str"/>
      <x:c r="Q80" s="16" t="str">
        <x:v>Phase 7</x:v>
      </x:c>
    </x:row>
    <x:row r="81" ht="120" hidden="0" customHeight="1">
      <x:c r="A81" s="16" t="str">
        <x:v>LAB-077</x:v>
      </x:c>
      <x:c r="B81" s="16" t="n">
        <x:v>7</x:v>
      </x:c>
      <x:c r="C81" s="16" t="str">
        <x:v>L2VPN, EVPN &amp; Multihoming</x:v>
      </x:c>
      <x:c r="D81" s="16" t="str">
        <x:v>EVPN route-type 3 inclusive multicast</x:v>
      </x:c>
      <x:c r="E81" s="16" t="str">
        <x:v>Configure, explain, verify, break, and restore evpn route-type 3 inclusive multicast on IOS XR.</x:v>
      </x:c>
      <x:c r="F81" s="16" t="str">
        <x:v>4 PE + 2 P + CE/host nodes</x:v>
      </x:c>
      <x:c r="G81" s="16" t="n">
        <x:v>4</x:v>
      </x:c>
      <x:c r="H81" s="16" t="str">
        <x:v>Advanced</x:v>
      </x:c>
      <x:c r="I81" s="16" t="str">
        <x:v>Core</x:v>
      </x:c>
      <x:c r="J81" s="16" t="str">
        <x:v>LAB-076</x:v>
      </x:c>
      <x:c r="K81" s="16" t="str">
        <x:v>Not Started</x:v>
      </x:c>
      <x:c r="L81" s="16" t="n">
        <x:v>0</x:v>
      </x:c>
      <x:c r="M81" s="16" t="str"/>
      <x:c r="N81" s="33" t="str"/>
      <x:c r="O81" s="16" t="str">
        <x:v>Configs; control-plane output; forwarding/traffic proof; fault + root cause; pre/post/rollback</x:v>
      </x:c>
      <x:c r="P81" s="16" t="str"/>
      <x:c r="Q81" s="16" t="str">
        <x:v>Phase 7</x:v>
      </x:c>
    </x:row>
    <x:row r="82" ht="120" hidden="0" customHeight="1">
      <x:c r="A82" s="16" t="str">
        <x:v>LAB-078</x:v>
      </x:c>
      <x:c r="B82" s="16" t="n">
        <x:v>7</x:v>
      </x:c>
      <x:c r="C82" s="16" t="str">
        <x:v>L2VPN, EVPN &amp; Multihoming</x:v>
      </x:c>
      <x:c r="D82" s="16" t="str">
        <x:v>EVPN VPWS with route types 1 and 4</x:v>
      </x:c>
      <x:c r="E82" s="16" t="str">
        <x:v>Configure, explain, verify, break, and restore evpn vpws with route types 1 and 4 on IOS XR.</x:v>
      </x:c>
      <x:c r="F82" s="16" t="str">
        <x:v>4 PE + 2 P + CE/host nodes</x:v>
      </x:c>
      <x:c r="G82" s="16" t="n">
        <x:v>4</x:v>
      </x:c>
      <x:c r="H82" s="16" t="str">
        <x:v>Advanced</x:v>
      </x:c>
      <x:c r="I82" s="16" t="str">
        <x:v>Core</x:v>
      </x:c>
      <x:c r="J82" s="16" t="str">
        <x:v>LAB-077</x:v>
      </x:c>
      <x:c r="K82" s="16" t="str">
        <x:v>Not Started</x:v>
      </x:c>
      <x:c r="L82" s="16" t="n">
        <x:v>0</x:v>
      </x:c>
      <x:c r="M82" s="16" t="str"/>
      <x:c r="N82" s="33" t="str"/>
      <x:c r="O82" s="16" t="str">
        <x:v>Configs; control-plane output; forwarding/traffic proof; fault + root cause; pre/post/rollback</x:v>
      </x:c>
      <x:c r="P82" s="16" t="str"/>
      <x:c r="Q82" s="16" t="str">
        <x:v>Phase 7</x:v>
      </x:c>
    </x:row>
    <x:row r="83" ht="120" hidden="0" customHeight="1">
      <x:c r="A83" s="16" t="str">
        <x:v>LAB-079</x:v>
      </x:c>
      <x:c r="B83" s="16" t="n">
        <x:v>7</x:v>
      </x:c>
      <x:c r="C83" s="16" t="str">
        <x:v>L2VPN, EVPN &amp; Multihoming</x:v>
      </x:c>
      <x:c r="D83" s="16" t="str">
        <x:v>EVPN E-LAN single-homing over MPLS</x:v>
      </x:c>
      <x:c r="E83" s="16" t="str">
        <x:v>Configure, explain, verify, break, and restore evpn e-lan single-homing over mpls on IOS XR.</x:v>
      </x:c>
      <x:c r="F83" s="16" t="str">
        <x:v>4 PE + 2 P + CE/host nodes</x:v>
      </x:c>
      <x:c r="G83" s="16" t="n">
        <x:v>6</x:v>
      </x:c>
      <x:c r="H83" s="16" t="str">
        <x:v>Expert</x:v>
      </x:c>
      <x:c r="I83" s="16" t="str">
        <x:v>Core</x:v>
      </x:c>
      <x:c r="J83" s="16" t="str">
        <x:v>LAB-078</x:v>
      </x:c>
      <x:c r="K83" s="16" t="str">
        <x:v>Not Started</x:v>
      </x:c>
      <x:c r="L83" s="16" t="n">
        <x:v>0</x:v>
      </x:c>
      <x:c r="M83" s="16" t="str"/>
      <x:c r="N83" s="33" t="str"/>
      <x:c r="O83" s="16" t="str">
        <x:v>Configs; control-plane output; forwarding/traffic proof; fault + root cause; pre/post/rollback</x:v>
      </x:c>
      <x:c r="P83" s="16" t="str"/>
      <x:c r="Q83" s="16" t="str">
        <x:v>Phase 7</x:v>
      </x:c>
    </x:row>
    <x:row r="84" ht="120" hidden="0" customHeight="1">
      <x:c r="A84" s="16" t="str">
        <x:v>LAB-080</x:v>
      </x:c>
      <x:c r="B84" s="16" t="n">
        <x:v>7</x:v>
      </x:c>
      <x:c r="C84" s="16" t="str">
        <x:v>L2VPN, EVPN &amp; Multihoming</x:v>
      </x:c>
      <x:c r="D84" s="16" t="str">
        <x:v>EVPN all-active multihoming and ESI</x:v>
      </x:c>
      <x:c r="E84" s="16" t="str">
        <x:v>Configure, explain, verify, break, and restore evpn all-active multihoming and esi on IOS XR.</x:v>
      </x:c>
      <x:c r="F84" s="16" t="str">
        <x:v>4 PE + 2 P + CE/host nodes</x:v>
      </x:c>
      <x:c r="G84" s="16" t="n">
        <x:v>4</x:v>
      </x:c>
      <x:c r="H84" s="16" t="str">
        <x:v>Advanced</x:v>
      </x:c>
      <x:c r="I84" s="16" t="str">
        <x:v>Core</x:v>
      </x:c>
      <x:c r="J84" s="16" t="str">
        <x:v>LAB-079</x:v>
      </x:c>
      <x:c r="K84" s="16" t="str">
        <x:v>Not Started</x:v>
      </x:c>
      <x:c r="L84" s="16" t="n">
        <x:v>0</x:v>
      </x:c>
      <x:c r="M84" s="16" t="str"/>
      <x:c r="N84" s="33" t="str"/>
      <x:c r="O84" s="16" t="str">
        <x:v>Configs; control-plane output; forwarding/traffic proof; fault + root cause; pre/post/rollback</x:v>
      </x:c>
      <x:c r="P84" s="16" t="str"/>
      <x:c r="Q84" s="16" t="str">
        <x:v>Phase 7</x:v>
      </x:c>
    </x:row>
    <x:row r="85" ht="120" hidden="0" customHeight="1">
      <x:c r="A85" s="16" t="str">
        <x:v>LAB-081</x:v>
      </x:c>
      <x:c r="B85" s="16" t="n">
        <x:v>7</x:v>
      </x:c>
      <x:c r="C85" s="16" t="str">
        <x:v>L2VPN, EVPN &amp; Multihoming</x:v>
      </x:c>
      <x:c r="D85" s="16" t="str">
        <x:v>EVPN single-active multihoming</x:v>
      </x:c>
      <x:c r="E85" s="16" t="str">
        <x:v>Configure, explain, verify, break, and restore evpn single-active multihoming on IOS XR.</x:v>
      </x:c>
      <x:c r="F85" s="16" t="str">
        <x:v>4 PE + 2 P + CE/host nodes</x:v>
      </x:c>
      <x:c r="G85" s="16" t="n">
        <x:v>4</x:v>
      </x:c>
      <x:c r="H85" s="16" t="str">
        <x:v>Advanced</x:v>
      </x:c>
      <x:c r="I85" s="16" t="str">
        <x:v>Core</x:v>
      </x:c>
      <x:c r="J85" s="16" t="str">
        <x:v>LAB-080</x:v>
      </x:c>
      <x:c r="K85" s="16" t="str">
        <x:v>Not Started</x:v>
      </x:c>
      <x:c r="L85" s="16" t="n">
        <x:v>0</x:v>
      </x:c>
      <x:c r="M85" s="16" t="str"/>
      <x:c r="N85" s="33" t="str"/>
      <x:c r="O85" s="16" t="str">
        <x:v>Configs; control-plane output; forwarding/traffic proof; fault + root cause; pre/post/rollback</x:v>
      </x:c>
      <x:c r="P85" s="16" t="str"/>
      <x:c r="Q85" s="16" t="str">
        <x:v>Phase 7</x:v>
      </x:c>
    </x:row>
    <x:row r="86" ht="120" hidden="0" customHeight="1">
      <x:c r="A86" s="16" t="str">
        <x:v>LAB-082</x:v>
      </x:c>
      <x:c r="B86" s="16" t="n">
        <x:v>7</x:v>
      </x:c>
      <x:c r="C86" s="16" t="str">
        <x:v>L2VPN, EVPN &amp; Multihoming</x:v>
      </x:c>
      <x:c r="D86" s="16" t="str">
        <x:v>EVPN DF election and service carving</x:v>
      </x:c>
      <x:c r="E86" s="16" t="str">
        <x:v>Configure, explain, verify, break, and restore evpn df election and service carving on IOS XR.</x:v>
      </x:c>
      <x:c r="F86" s="16" t="str">
        <x:v>4 PE + 2 P + CE/host nodes</x:v>
      </x:c>
      <x:c r="G86" s="16" t="n">
        <x:v>4</x:v>
      </x:c>
      <x:c r="H86" s="16" t="str">
        <x:v>Advanced</x:v>
      </x:c>
      <x:c r="I86" s="16" t="str">
        <x:v>Core</x:v>
      </x:c>
      <x:c r="J86" s="16" t="str">
        <x:v>LAB-081</x:v>
      </x:c>
      <x:c r="K86" s="16" t="str">
        <x:v>Not Started</x:v>
      </x:c>
      <x:c r="L86" s="16" t="n">
        <x:v>0</x:v>
      </x:c>
      <x:c r="M86" s="16" t="str"/>
      <x:c r="N86" s="33" t="str"/>
      <x:c r="O86" s="16" t="str">
        <x:v>Configs; control-plane output; forwarding/traffic proof; fault + root cause; pre/post/rollback</x:v>
      </x:c>
      <x:c r="P86" s="16" t="str"/>
      <x:c r="Q86" s="16" t="str">
        <x:v>Phase 7</x:v>
      </x:c>
    </x:row>
    <x:row r="87" ht="120" hidden="0" customHeight="1">
      <x:c r="A87" s="16" t="str">
        <x:v>LAB-083</x:v>
      </x:c>
      <x:c r="B87" s="16" t="n">
        <x:v>7</x:v>
      </x:c>
      <x:c r="C87" s="16" t="str">
        <x:v>L2VPN, EVPN &amp; Multihoming</x:v>
      </x:c>
      <x:c r="D87" s="16" t="str">
        <x:v>EVPN aliasing and backup-path behavior</x:v>
      </x:c>
      <x:c r="E87" s="16" t="str">
        <x:v>Configure, explain, verify, break, and restore evpn aliasing and backup-path behavior on IOS XR.</x:v>
      </x:c>
      <x:c r="F87" s="16" t="str">
        <x:v>4 PE + 2 P + CE/host nodes</x:v>
      </x:c>
      <x:c r="G87" s="16" t="n">
        <x:v>6</x:v>
      </x:c>
      <x:c r="H87" s="16" t="str">
        <x:v>Expert</x:v>
      </x:c>
      <x:c r="I87" s="16" t="str">
        <x:v>Core</x:v>
      </x:c>
      <x:c r="J87" s="16" t="str">
        <x:v>LAB-082</x:v>
      </x:c>
      <x:c r="K87" s="16" t="str">
        <x:v>Not Started</x:v>
      </x:c>
      <x:c r="L87" s="16" t="n">
        <x:v>0</x:v>
      </x:c>
      <x:c r="M87" s="16" t="str"/>
      <x:c r="N87" s="33" t="str"/>
      <x:c r="O87" s="16" t="str">
        <x:v>Configs; control-plane output; forwarding/traffic proof; fault + root cause; pre/post/rollback</x:v>
      </x:c>
      <x:c r="P87" s="16" t="str"/>
      <x:c r="Q87" s="16" t="str">
        <x:v>Phase 7</x:v>
      </x:c>
    </x:row>
    <x:row r="88" ht="120" hidden="0" customHeight="1">
      <x:c r="A88" s="16" t="str">
        <x:v>LAB-084</x:v>
      </x:c>
      <x:c r="B88" s="16" t="n">
        <x:v>7</x:v>
      </x:c>
      <x:c r="C88" s="16" t="str">
        <x:v>L2VPN, EVPN &amp; Multihoming</x:v>
      </x:c>
      <x:c r="D88" s="16" t="str">
        <x:v>EVPN MAC mobility and duplicate detection</x:v>
      </x:c>
      <x:c r="E88" s="16" t="str">
        <x:v>Configure, explain, verify, break, and restore evpn mac mobility and duplicate detection on IOS XR.</x:v>
      </x:c>
      <x:c r="F88" s="16" t="str">
        <x:v>4 PE + 2 P + CE/host nodes</x:v>
      </x:c>
      <x:c r="G88" s="16" t="n">
        <x:v>4</x:v>
      </x:c>
      <x:c r="H88" s="16" t="str">
        <x:v>Advanced</x:v>
      </x:c>
      <x:c r="I88" s="16" t="str">
        <x:v>Core</x:v>
      </x:c>
      <x:c r="J88" s="16" t="str">
        <x:v>LAB-083</x:v>
      </x:c>
      <x:c r="K88" s="16" t="str">
        <x:v>Not Started</x:v>
      </x:c>
      <x:c r="L88" s="16" t="n">
        <x:v>0</x:v>
      </x:c>
      <x:c r="M88" s="16" t="str"/>
      <x:c r="N88" s="33" t="str"/>
      <x:c r="O88" s="16" t="str">
        <x:v>Configs; control-plane output; forwarding/traffic proof; fault + root cause; pre/post/rollback</x:v>
      </x:c>
      <x:c r="P88" s="16" t="str"/>
      <x:c r="Q88" s="16" t="str">
        <x:v>Phase 7</x:v>
      </x:c>
    </x:row>
    <x:row r="89" ht="132" hidden="0" customHeight="1">
      <x:c r="A89" s="16" t="str">
        <x:v>LAB-085</x:v>
      </x:c>
      <x:c r="B89" s="16" t="n">
        <x:v>7</x:v>
      </x:c>
      <x:c r="C89" s="16" t="str">
        <x:v>L2VPN, EVPN &amp; Multihoming</x:v>
      </x:c>
      <x:c r="D89" s="16" t="str">
        <x:v>EVPN mass-withdraw convergence</x:v>
      </x:c>
      <x:c r="E89" s="16" t="str">
        <x:v>Configure, explain, verify, break, and restore evpn mass-withdraw convergence on IOS XR.</x:v>
      </x:c>
      <x:c r="F89" s="16" t="str">
        <x:v>4 PE + 2 P + CE/host nodes</x:v>
      </x:c>
      <x:c r="G89" s="16" t="n">
        <x:v>4</x:v>
      </x:c>
      <x:c r="H89" s="16" t="str">
        <x:v>Advanced</x:v>
      </x:c>
      <x:c r="I89" s="16" t="str">
        <x:v>Core</x:v>
      </x:c>
      <x:c r="J89" s="16" t="str">
        <x:v>LAB-084</x:v>
      </x:c>
      <x:c r="K89" s="16" t="str">
        <x:v>Not Started</x:v>
      </x:c>
      <x:c r="L89" s="16" t="n">
        <x:v>0</x:v>
      </x:c>
      <x:c r="M89" s="16" t="str"/>
      <x:c r="N89" s="33" t="str"/>
      <x:c r="O89" s="16" t="str">
        <x:v>Configs; control-plane output; forwarding/traffic proof; fault + root cause; pre/post/rollback</x:v>
      </x:c>
      <x:c r="P89" s="16" t="str"/>
      <x:c r="Q89" s="16" t="str">
        <x:v>Phase 7</x:v>
      </x:c>
    </x:row>
    <x:row r="90" ht="132" hidden="0" customHeight="1">
      <x:c r="A90" s="16" t="str">
        <x:v>LAB-086</x:v>
      </x:c>
      <x:c r="B90" s="16" t="n">
        <x:v>7</x:v>
      </x:c>
      <x:c r="C90" s="16" t="str">
        <x:v>L2VPN, EVPN &amp; Multihoming</x:v>
      </x:c>
      <x:c r="D90" s="16" t="str">
        <x:v>EVPN integrated routing and bridging concepts</x:v>
      </x:c>
      <x:c r="E90" s="16" t="str">
        <x:v>Configure, explain, verify, break, and restore evpn integrated routing and bridging concepts on IOS XR.</x:v>
      </x:c>
      <x:c r="F90" s="16" t="str">
        <x:v>4 PE + 2 P + CE/host nodes</x:v>
      </x:c>
      <x:c r="G90" s="16" t="n">
        <x:v>4</x:v>
      </x:c>
      <x:c r="H90" s="16" t="str">
        <x:v>Advanced</x:v>
      </x:c>
      <x:c r="I90" s="16" t="str">
        <x:v>Core</x:v>
      </x:c>
      <x:c r="J90" s="16" t="str">
        <x:v>LAB-085</x:v>
      </x:c>
      <x:c r="K90" s="16" t="str">
        <x:v>Not Started</x:v>
      </x:c>
      <x:c r="L90" s="16" t="n">
        <x:v>0</x:v>
      </x:c>
      <x:c r="M90" s="16" t="str"/>
      <x:c r="N90" s="33" t="str"/>
      <x:c r="O90" s="16" t="str">
        <x:v>Configs; control-plane output; forwarding/traffic proof; fault + root cause; pre/post/rollback</x:v>
      </x:c>
      <x:c r="P90" s="16" t="str"/>
      <x:c r="Q90" s="16" t="str">
        <x:v>Phase 7</x:v>
      </x:c>
    </x:row>
    <x:row r="91" ht="120" hidden="0" customHeight="1">
      <x:c r="A91" s="16" t="str">
        <x:v>LAB-087</x:v>
      </x:c>
      <x:c r="B91" s="16" t="n">
        <x:v>7</x:v>
      </x:c>
      <x:c r="C91" s="16" t="str">
        <x:v>L2VPN, EVPN &amp; Multihoming</x:v>
      </x:c>
      <x:c r="D91" s="16" t="str">
        <x:v>EVPN over SR-MPLS and SR-TE steering</x:v>
      </x:c>
      <x:c r="E91" s="16" t="str">
        <x:v>Configure, explain, verify, break, and restore evpn over sr-mpls and sr-te steering on IOS XR.</x:v>
      </x:c>
      <x:c r="F91" s="16" t="str">
        <x:v>4 PE + 2 P + CE/host nodes</x:v>
      </x:c>
      <x:c r="G91" s="16" t="n">
        <x:v>6</x:v>
      </x:c>
      <x:c r="H91" s="16" t="str">
        <x:v>Expert</x:v>
      </x:c>
      <x:c r="I91" s="16" t="str">
        <x:v>Core</x:v>
      </x:c>
      <x:c r="J91" s="16" t="str">
        <x:v>LAB-086</x:v>
      </x:c>
      <x:c r="K91" s="16" t="str">
        <x:v>Not Started</x:v>
      </x:c>
      <x:c r="L91" s="16" t="n">
        <x:v>0</x:v>
      </x:c>
      <x:c r="M91" s="16" t="str"/>
      <x:c r="N91" s="33" t="str"/>
      <x:c r="O91" s="16" t="str">
        <x:v>Configs; control-plane output; forwarding/traffic proof; fault + root cause; pre/post/rollback</x:v>
      </x:c>
      <x:c r="P91" s="16" t="str"/>
      <x:c r="Q91" s="16" t="str">
        <x:v>Phase 7</x:v>
      </x:c>
    </x:row>
    <x:row r="92" ht="132" hidden="0" customHeight="1">
      <x:c r="A92" s="16" t="str">
        <x:v>LAB-088</x:v>
      </x:c>
      <x:c r="B92" s="16" t="n">
        <x:v>8</x:v>
      </x:c>
      <x:c r="C92" s="16" t="str">
        <x:v>Multicast &amp; mVPN</x:v>
      </x:c>
      <x:c r="D92" s="16" t="str">
        <x:v>PIM sparse mode and RP fundamentals</x:v>
      </x:c>
      <x:c r="E92" s="16" t="str">
        <x:v>Configure, explain, verify, break, and restore pim sparse mode and rp fundamentals on IOS XR.</x:v>
      </x:c>
      <x:c r="F92" s="16" t="str">
        <x:v>4–6 XR nodes</x:v>
      </x:c>
      <x:c r="G92" s="16" t="n">
        <x:v>4</x:v>
      </x:c>
      <x:c r="H92" s="16" t="str">
        <x:v>Advanced</x:v>
      </x:c>
      <x:c r="I92" s="16" t="str">
        <x:v>Core</x:v>
      </x:c>
      <x:c r="J92" s="16" t="str"/>
      <x:c r="K92" s="16" t="str">
        <x:v>Not Started</x:v>
      </x:c>
      <x:c r="L92" s="16" t="n">
        <x:v>0</x:v>
      </x:c>
      <x:c r="M92" s="16" t="str"/>
      <x:c r="N92" s="33" t="str"/>
      <x:c r="O92" s="16" t="str">
        <x:v>Configs; control-plane output; forwarding/traffic proof; fault + root cause; pre/post/rollback</x:v>
      </x:c>
      <x:c r="P92" s="16" t="str"/>
      <x:c r="Q92" s="16" t="str">
        <x:v>Phase 8</x:v>
      </x:c>
    </x:row>
    <x:row r="93" ht="120" hidden="0" customHeight="1">
      <x:c r="A93" s="16" t="str">
        <x:v>LAB-089</x:v>
      </x:c>
      <x:c r="B93" s="16" t="n">
        <x:v>8</x:v>
      </x:c>
      <x:c r="C93" s="16" t="str">
        <x:v>Multicast &amp; mVPN</x:v>
      </x:c>
      <x:c r="D93" s="16" t="str">
        <x:v>Static RP and BSR control plane</x:v>
      </x:c>
      <x:c r="E93" s="16" t="str">
        <x:v>Configure, explain, verify, break, and restore static rp and bsr control plane on IOS XR.</x:v>
      </x:c>
      <x:c r="F93" s="16" t="str">
        <x:v>4–6 XR nodes</x:v>
      </x:c>
      <x:c r="G93" s="16" t="n">
        <x:v>4</x:v>
      </x:c>
      <x:c r="H93" s="16" t="str">
        <x:v>Advanced</x:v>
      </x:c>
      <x:c r="I93" s="16" t="str">
        <x:v>Recommended</x:v>
      </x:c>
      <x:c r="J93" s="16" t="str">
        <x:v>LAB-088</x:v>
      </x:c>
      <x:c r="K93" s="16" t="str">
        <x:v>Not Started</x:v>
      </x:c>
      <x:c r="L93" s="16" t="n">
        <x:v>0</x:v>
      </x:c>
      <x:c r="M93" s="16" t="str"/>
      <x:c r="N93" s="33" t="str"/>
      <x:c r="O93" s="16" t="str">
        <x:v>Configs; control-plane output; forwarding/traffic proof; fault + root cause; pre/post/rollback</x:v>
      </x:c>
      <x:c r="P93" s="16" t="str"/>
      <x:c r="Q93" s="16" t="str">
        <x:v>Phase 8</x:v>
      </x:c>
    </x:row>
    <x:row r="94" ht="108" hidden="0" customHeight="1">
      <x:c r="A94" s="16" t="str">
        <x:v>LAB-090</x:v>
      </x:c>
      <x:c r="B94" s="16" t="n">
        <x:v>8</x:v>
      </x:c>
      <x:c r="C94" s="16" t="str">
        <x:v>Multicast &amp; mVPN</x:v>
      </x:c>
      <x:c r="D94" s="16" t="str">
        <x:v>SSM and IGMPv3</x:v>
      </x:c>
      <x:c r="E94" s="16" t="str">
        <x:v>Configure, explain, verify, break, and restore ssm and igmpv3 on IOS XR.</x:v>
      </x:c>
      <x:c r="F94" s="16" t="str">
        <x:v>4–6 XR nodes</x:v>
      </x:c>
      <x:c r="G94" s="16" t="n">
        <x:v>4</x:v>
      </x:c>
      <x:c r="H94" s="16" t="str">
        <x:v>Advanced</x:v>
      </x:c>
      <x:c r="I94" s="16" t="str">
        <x:v>Recommended</x:v>
      </x:c>
      <x:c r="J94" s="16" t="str">
        <x:v>LAB-089</x:v>
      </x:c>
      <x:c r="K94" s="16" t="str">
        <x:v>Not Started</x:v>
      </x:c>
      <x:c r="L94" s="16" t="n">
        <x:v>0</x:v>
      </x:c>
      <x:c r="M94" s="16" t="str"/>
      <x:c r="N94" s="33" t="str"/>
      <x:c r="O94" s="16" t="str">
        <x:v>Configs; control-plane output; forwarding/traffic proof; fault + root cause; pre/post/rollback</x:v>
      </x:c>
      <x:c r="P94" s="16" t="str"/>
      <x:c r="Q94" s="16" t="str">
        <x:v>Phase 8</x:v>
      </x:c>
    </x:row>
    <x:row r="95" ht="108" hidden="0" customHeight="1">
      <x:c r="A95" s="16" t="str">
        <x:v>LAB-091</x:v>
      </x:c>
      <x:c r="B95" s="16" t="n">
        <x:v>8</x:v>
      </x:c>
      <x:c r="C95" s="16" t="str">
        <x:v>Multicast &amp; mVPN</x:v>
      </x:c>
      <x:c r="D95" s="16" t="str">
        <x:v>Anycast RP with MSDP</x:v>
      </x:c>
      <x:c r="E95" s="16" t="str">
        <x:v>Configure, explain, verify, break, and restore anycast rp with msdp on IOS XR.</x:v>
      </x:c>
      <x:c r="F95" s="16" t="str">
        <x:v>4–6 XR nodes</x:v>
      </x:c>
      <x:c r="G95" s="16" t="n">
        <x:v>6</x:v>
      </x:c>
      <x:c r="H95" s="16" t="str">
        <x:v>Expert</x:v>
      </x:c>
      <x:c r="I95" s="16" t="str">
        <x:v>Core</x:v>
      </x:c>
      <x:c r="J95" s="16" t="str">
        <x:v>LAB-090</x:v>
      </x:c>
      <x:c r="K95" s="16" t="str">
        <x:v>Not Started</x:v>
      </x:c>
      <x:c r="L95" s="16" t="n">
        <x:v>0</x:v>
      </x:c>
      <x:c r="M95" s="16" t="str"/>
      <x:c r="N95" s="33" t="str"/>
      <x:c r="O95" s="16" t="str">
        <x:v>Configs; control-plane output; forwarding/traffic proof; fault + root cause; pre/post/rollback</x:v>
      </x:c>
      <x:c r="P95" s="16" t="str"/>
      <x:c r="Q95" s="16" t="str">
        <x:v>Phase 8</x:v>
      </x:c>
    </x:row>
    <x:row r="96" ht="108" hidden="0" customHeight="1">
      <x:c r="A96" s="16" t="str">
        <x:v>LAB-092</x:v>
      </x:c>
      <x:c r="B96" s="16" t="n">
        <x:v>8</x:v>
      </x:c>
      <x:c r="C96" s="16" t="str">
        <x:v>Multicast &amp; mVPN</x:v>
      </x:c>
      <x:c r="D96" s="16" t="str">
        <x:v>Multicast RPF and ECMP behavior</x:v>
      </x:c>
      <x:c r="E96" s="16" t="str">
        <x:v>Configure, explain, verify, break, and restore multicast rpf and ecmp behavior on IOS XR.</x:v>
      </x:c>
      <x:c r="F96" s="16" t="str">
        <x:v>4–6 XR nodes</x:v>
      </x:c>
      <x:c r="G96" s="16" t="n">
        <x:v>4</x:v>
      </x:c>
      <x:c r="H96" s="16" t="str">
        <x:v>Advanced</x:v>
      </x:c>
      <x:c r="I96" s="16" t="str">
        <x:v>Recommended</x:v>
      </x:c>
      <x:c r="J96" s="16" t="str">
        <x:v>LAB-091</x:v>
      </x:c>
      <x:c r="K96" s="16" t="str">
        <x:v>Not Started</x:v>
      </x:c>
      <x:c r="L96" s="16" t="n">
        <x:v>0</x:v>
      </x:c>
      <x:c r="M96" s="16" t="str"/>
      <x:c r="N96" s="33" t="str"/>
      <x:c r="O96" s="16" t="str">
        <x:v>Configs; control-plane output; forwarding/traffic proof; fault + root cause; pre/post/rollback</x:v>
      </x:c>
      <x:c r="P96" s="16" t="str"/>
      <x:c r="Q96" s="16" t="str">
        <x:v>Phase 8</x:v>
      </x:c>
    </x:row>
    <x:row r="97" ht="108" hidden="0" customHeight="1">
      <x:c r="A97" s="16" t="str">
        <x:v>LAB-093</x:v>
      </x:c>
      <x:c r="B97" s="16" t="n">
        <x:v>8</x:v>
      </x:c>
      <x:c r="C97" s="16" t="str">
        <x:v>Multicast &amp; mVPN</x:v>
      </x:c>
      <x:c r="D97" s="16" t="str">
        <x:v>NG-mVPN profile 0 baseline</x:v>
      </x:c>
      <x:c r="E97" s="16" t="str">
        <x:v>Configure, explain, verify, break, and restore ng-mvpn profile 0 baseline on IOS XR.</x:v>
      </x:c>
      <x:c r="F97" s="16" t="str">
        <x:v>4–6 XR nodes</x:v>
      </x:c>
      <x:c r="G97" s="16" t="n">
        <x:v>4</x:v>
      </x:c>
      <x:c r="H97" s="16" t="str">
        <x:v>Advanced</x:v>
      </x:c>
      <x:c r="I97" s="16" t="str">
        <x:v>Recommended</x:v>
      </x:c>
      <x:c r="J97" s="16" t="str">
        <x:v>LAB-092</x:v>
      </x:c>
      <x:c r="K97" s="16" t="str">
        <x:v>Not Started</x:v>
      </x:c>
      <x:c r="L97" s="16" t="n">
        <x:v>0</x:v>
      </x:c>
      <x:c r="M97" s="16" t="str"/>
      <x:c r="N97" s="33" t="str"/>
      <x:c r="O97" s="16" t="str">
        <x:v>Configs; control-plane output; forwarding/traffic proof; fault + root cause; pre/post/rollback</x:v>
      </x:c>
      <x:c r="P97" s="16" t="str"/>
      <x:c r="Q97" s="16" t="str">
        <x:v>Phase 8</x:v>
      </x:c>
    </x:row>
    <x:row r="98" ht="108" hidden="0" customHeight="1">
      <x:c r="A98" s="16" t="str">
        <x:v>LAB-094</x:v>
      </x:c>
      <x:c r="B98" s="16" t="n">
        <x:v>8</x:v>
      </x:c>
      <x:c r="C98" s="16" t="str">
        <x:v>Multicast &amp; mVPN</x:v>
      </x:c>
      <x:c r="D98" s="16" t="str">
        <x:v>NG-mVPN profile 7 shared tree</x:v>
      </x:c>
      <x:c r="E98" s="16" t="str">
        <x:v>Configure, explain, verify, break, and restore ng-mvpn profile 7 shared tree on IOS XR.</x:v>
      </x:c>
      <x:c r="F98" s="16" t="str">
        <x:v>4–6 XR nodes</x:v>
      </x:c>
      <x:c r="G98" s="16" t="n">
        <x:v>4</x:v>
      </x:c>
      <x:c r="H98" s="16" t="str">
        <x:v>Advanced</x:v>
      </x:c>
      <x:c r="I98" s="16" t="str">
        <x:v>Core</x:v>
      </x:c>
      <x:c r="J98" s="16" t="str">
        <x:v>LAB-093</x:v>
      </x:c>
      <x:c r="K98" s="16" t="str">
        <x:v>Not Started</x:v>
      </x:c>
      <x:c r="L98" s="16" t="n">
        <x:v>0</x:v>
      </x:c>
      <x:c r="M98" s="16" t="str"/>
      <x:c r="N98" s="33" t="str"/>
      <x:c r="O98" s="16" t="str">
        <x:v>Configs; control-plane output; forwarding/traffic proof; fault + root cause; pre/post/rollback</x:v>
      </x:c>
      <x:c r="P98" s="16" t="str"/>
      <x:c r="Q98" s="16" t="str">
        <x:v>Phase 8</x:v>
      </x:c>
    </x:row>
    <x:row r="99" ht="108" hidden="0" customHeight="1">
      <x:c r="A99" s="16" t="str">
        <x:v>LAB-095</x:v>
      </x:c>
      <x:c r="B99" s="16" t="n">
        <x:v>8</x:v>
      </x:c>
      <x:c r="C99" s="16" t="str">
        <x:v>Multicast &amp; mVPN</x:v>
      </x:c>
      <x:c r="D99" s="16" t="str">
        <x:v>NG-mVPN profile 11 source tree</x:v>
      </x:c>
      <x:c r="E99" s="16" t="str">
        <x:v>Configure, explain, verify, break, and restore ng-mvpn profile 11 source tree on IOS XR.</x:v>
      </x:c>
      <x:c r="F99" s="16" t="str">
        <x:v>4–6 XR nodes</x:v>
      </x:c>
      <x:c r="G99" s="16" t="n">
        <x:v>6</x:v>
      </x:c>
      <x:c r="H99" s="16" t="str">
        <x:v>Expert</x:v>
      </x:c>
      <x:c r="I99" s="16" t="str">
        <x:v>Recommended</x:v>
      </x:c>
      <x:c r="J99" s="16" t="str">
        <x:v>LAB-094</x:v>
      </x:c>
      <x:c r="K99" s="16" t="str">
        <x:v>Not Started</x:v>
      </x:c>
      <x:c r="L99" s="16" t="n">
        <x:v>0</x:v>
      </x:c>
      <x:c r="M99" s="16" t="str"/>
      <x:c r="N99" s="33" t="str"/>
      <x:c r="O99" s="16" t="str">
        <x:v>Configs; control-plane output; forwarding/traffic proof; fault + root cause; pre/post/rollback</x:v>
      </x:c>
      <x:c r="P99" s="16" t="str"/>
      <x:c r="Q99" s="16" t="str">
        <x:v>Phase 8</x:v>
      </x:c>
    </x:row>
    <x:row r="100" ht="120" hidden="0" customHeight="1">
      <x:c r="A100" s="16" t="str">
        <x:v>LAB-096</x:v>
      </x:c>
      <x:c r="B100" s="16" t="n">
        <x:v>8</x:v>
      </x:c>
      <x:c r="C100" s="16" t="str">
        <x:v>Multicast &amp; mVPN</x:v>
      </x:c>
      <x:c r="D100" s="16" t="str">
        <x:v>mVPN route types and PMSI attributes</x:v>
      </x:c>
      <x:c r="E100" s="16" t="str">
        <x:v>Configure, explain, verify, break, and restore mvpn route types and pmsi attributes on IOS XR.</x:v>
      </x:c>
      <x:c r="F100" s="16" t="str">
        <x:v>4–6 XR nodes</x:v>
      </x:c>
      <x:c r="G100" s="16" t="n">
        <x:v>4</x:v>
      </x:c>
      <x:c r="H100" s="16" t="str">
        <x:v>Advanced</x:v>
      </x:c>
      <x:c r="I100" s="16" t="str">
        <x:v>Recommended</x:v>
      </x:c>
      <x:c r="J100" s="16" t="str">
        <x:v>LAB-095</x:v>
      </x:c>
      <x:c r="K100" s="16" t="str">
        <x:v>Not Started</x:v>
      </x:c>
      <x:c r="L100" s="16" t="n">
        <x:v>0</x:v>
      </x:c>
      <x:c r="M100" s="16" t="str"/>
      <x:c r="N100" s="33" t="str"/>
      <x:c r="O100" s="16" t="str">
        <x:v>Configs; control-plane output; forwarding/traffic proof; fault + root cause; pre/post/rollback</x:v>
      </x:c>
      <x:c r="P100" s="16" t="str"/>
      <x:c r="Q100" s="16" t="str">
        <x:v>Phase 8</x:v>
      </x:c>
    </x:row>
    <x:row r="101" ht="108" hidden="0" customHeight="1">
      <x:c r="A101" s="16" t="str">
        <x:v>LAB-097</x:v>
      </x:c>
      <x:c r="B101" s="16" t="n">
        <x:v>8</x:v>
      </x:c>
      <x:c r="C101" s="16" t="str">
        <x:v>Multicast &amp; mVPN</x:v>
      </x:c>
      <x:c r="D101" s="16" t="str">
        <x:v>Extranet multicast VPN</x:v>
      </x:c>
      <x:c r="E101" s="16" t="str">
        <x:v>Configure, explain, verify, break, and restore extranet multicast vpn on IOS XR.</x:v>
      </x:c>
      <x:c r="F101" s="16" t="str">
        <x:v>4–6 XR nodes</x:v>
      </x:c>
      <x:c r="G101" s="16" t="n">
        <x:v>4</x:v>
      </x:c>
      <x:c r="H101" s="16" t="str">
        <x:v>Advanced</x:v>
      </x:c>
      <x:c r="I101" s="16" t="str">
        <x:v>Core</x:v>
      </x:c>
      <x:c r="J101" s="16" t="str">
        <x:v>LAB-096</x:v>
      </x:c>
      <x:c r="K101" s="16" t="str">
        <x:v>Not Started</x:v>
      </x:c>
      <x:c r="L101" s="16" t="n">
        <x:v>0</x:v>
      </x:c>
      <x:c r="M101" s="16" t="str"/>
      <x:c r="N101" s="33" t="str"/>
      <x:c r="O101" s="16" t="str">
        <x:v>Configs; control-plane output; forwarding/traffic proof; fault + root cause; pre/post/rollback</x:v>
      </x:c>
      <x:c r="P101" s="16" t="str"/>
      <x:c r="Q101" s="16" t="str">
        <x:v>Phase 8</x:v>
      </x:c>
    </x:row>
    <x:row r="102" ht="132" hidden="0" customHeight="1">
      <x:c r="A102" s="16" t="str">
        <x:v>LAB-098</x:v>
      </x:c>
      <x:c r="B102" s="16" t="n">
        <x:v>8</x:v>
      </x:c>
      <x:c r="C102" s="16" t="str">
        <x:v>Multicast &amp; mVPN</x:v>
      </x:c>
      <x:c r="D102" s="16" t="str">
        <x:v>Multicast failure isolation and packet proof</x:v>
      </x:c>
      <x:c r="E102" s="16" t="str">
        <x:v>Configure, explain, verify, break, and restore multicast failure isolation and packet proof on IOS XR.</x:v>
      </x:c>
      <x:c r="F102" s="16" t="str">
        <x:v>4–6 XR nodes</x:v>
      </x:c>
      <x:c r="G102" s="16" t="n">
        <x:v>4</x:v>
      </x:c>
      <x:c r="H102" s="16" t="str">
        <x:v>Advanced</x:v>
      </x:c>
      <x:c r="I102" s="16" t="str">
        <x:v>Recommended</x:v>
      </x:c>
      <x:c r="J102" s="16" t="str">
        <x:v>LAB-097</x:v>
      </x:c>
      <x:c r="K102" s="16" t="str">
        <x:v>Not Started</x:v>
      </x:c>
      <x:c r="L102" s="16" t="n">
        <x:v>0</x:v>
      </x:c>
      <x:c r="M102" s="16" t="str"/>
      <x:c r="N102" s="33" t="str"/>
      <x:c r="O102" s="16" t="str">
        <x:v>Configs; control-plane output; forwarding/traffic proof; fault + root cause; pre/post/rollback</x:v>
      </x:c>
      <x:c r="P102" s="16" t="str"/>
      <x:c r="Q102" s="16" t="str">
        <x:v>Phase 8</x:v>
      </x:c>
    </x:row>
    <x:row r="103" ht="132" hidden="0" customHeight="1">
      <x:c r="A103" s="16" t="str">
        <x:v>LAB-099</x:v>
      </x:c>
      <x:c r="B103" s="16" t="n">
        <x:v>9</x:v>
      </x:c>
      <x:c r="C103" s="16" t="str">
        <x:v>Access, Metro &amp; Subscriber Edge</x:v>
      </x:c>
      <x:c r="D103" s="16" t="str">
        <x:v>802.1Q handoff, QinQ and rewrite operations</x:v>
      </x:c>
      <x:c r="E103" s="16" t="str">
        <x:v>Configure, explain, verify, break, and restore 802.1q handoff, qinq and rewrite operations on IOS XR.</x:v>
      </x:c>
      <x:c r="F103" s="16" t="str">
        <x:v>2 PE + access/host nodes</x:v>
      </x:c>
      <x:c r="G103" s="16" t="n">
        <x:v>4</x:v>
      </x:c>
      <x:c r="H103" s="16" t="str">
        <x:v>Advanced</x:v>
      </x:c>
      <x:c r="I103" s="16" t="str">
        <x:v>Core</x:v>
      </x:c>
      <x:c r="J103" s="16" t="str"/>
      <x:c r="K103" s="16" t="str">
        <x:v>Not Started</x:v>
      </x:c>
      <x:c r="L103" s="16" t="n">
        <x:v>0</x:v>
      </x:c>
      <x:c r="M103" s="16" t="str"/>
      <x:c r="N103" s="33" t="str"/>
      <x:c r="O103" s="16" t="str">
        <x:v>Configs; control-plane output; forwarding/traffic proof; fault + root cause; pre/post/rollback</x:v>
      </x:c>
      <x:c r="P103" s="16" t="str"/>
      <x:c r="Q103" s="16" t="str">
        <x:v>Phase 9</x:v>
      </x:c>
    </x:row>
    <x:row r="104" ht="120" hidden="0" customHeight="1">
      <x:c r="A104" s="16" t="str">
        <x:v>LAB-100</x:v>
      </x:c>
      <x:c r="B104" s="16" t="n">
        <x:v>9</x:v>
      </x:c>
      <x:c r="C104" s="16" t="str">
        <x:v>Access, Metro &amp; Subscriber Edge</x:v>
      </x:c>
      <x:c r="D104" s="16" t="str">
        <x:v>Ethernet CFM continuity checks</x:v>
      </x:c>
      <x:c r="E104" s="16" t="str">
        <x:v>Configure, explain, verify, break, and restore ethernet cfm continuity checks on IOS XR.</x:v>
      </x:c>
      <x:c r="F104" s="16" t="str">
        <x:v>2 PE + access/host nodes</x:v>
      </x:c>
      <x:c r="G104" s="16" t="n">
        <x:v>4</x:v>
      </x:c>
      <x:c r="H104" s="16" t="str">
        <x:v>Advanced</x:v>
      </x:c>
      <x:c r="I104" s="16" t="str">
        <x:v>Recommended</x:v>
      </x:c>
      <x:c r="J104" s="16" t="str">
        <x:v>LAB-099</x:v>
      </x:c>
      <x:c r="K104" s="16" t="str">
        <x:v>Not Started</x:v>
      </x:c>
      <x:c r="L104" s="16" t="n">
        <x:v>0</x:v>
      </x:c>
      <x:c r="M104" s="16" t="str"/>
      <x:c r="N104" s="33" t="str"/>
      <x:c r="O104" s="16" t="str">
        <x:v>Configs; control-plane output; forwarding/traffic proof; fault + root cause; pre/post/rollback</x:v>
      </x:c>
      <x:c r="P104" s="16" t="str"/>
      <x:c r="Q104" s="16" t="str">
        <x:v>Phase 9</x:v>
      </x:c>
    </x:row>
    <x:row r="105" ht="120" hidden="0" customHeight="1">
      <x:c r="A105" s="16" t="str">
        <x:v>LAB-101</x:v>
      </x:c>
      <x:c r="B105" s="16" t="n">
        <x:v>9</x:v>
      </x:c>
      <x:c r="C105" s="16" t="str">
        <x:v>Access, Metro &amp; Subscriber Edge</x:v>
      </x:c>
      <x:c r="D105" s="16" t="str">
        <x:v>REP/G.8032 concepts and failure domains</x:v>
      </x:c>
      <x:c r="E105" s="16" t="str">
        <x:v>Configure, explain, verify, break, and restore rep/g.8032 concepts and failure domains on IOS XR.</x:v>
      </x:c>
      <x:c r="F105" s="16" t="str">
        <x:v>2 PE + access/host nodes</x:v>
      </x:c>
      <x:c r="G105" s="16" t="n">
        <x:v>4</x:v>
      </x:c>
      <x:c r="H105" s="16" t="str">
        <x:v>Advanced</x:v>
      </x:c>
      <x:c r="I105" s="16" t="str">
        <x:v>Recommended</x:v>
      </x:c>
      <x:c r="J105" s="16" t="str">
        <x:v>LAB-100</x:v>
      </x:c>
      <x:c r="K105" s="16" t="str">
        <x:v>Not Started</x:v>
      </x:c>
      <x:c r="L105" s="16" t="n">
        <x:v>0</x:v>
      </x:c>
      <x:c r="M105" s="16" t="str"/>
      <x:c r="N105" s="33" t="str"/>
      <x:c r="O105" s="16" t="str">
        <x:v>Configs; control-plane output; forwarding/traffic proof; fault + root cause; pre/post/rollback</x:v>
      </x:c>
      <x:c r="P105" s="16" t="str"/>
      <x:c r="Q105" s="16" t="str">
        <x:v>Phase 9</x:v>
      </x:c>
    </x:row>
    <x:row r="106" ht="108" hidden="0" customHeight="1">
      <x:c r="A106" s="16" t="str">
        <x:v>LAB-102</x:v>
      </x:c>
      <x:c r="B106" s="16" t="n">
        <x:v>9</x:v>
      </x:c>
      <x:c r="C106" s="16" t="str">
        <x:v>Access, Metro &amp; Subscriber Edge</x:v>
      </x:c>
      <x:c r="D106" s="16" t="str">
        <x:v>DHCP relay and option 82</x:v>
      </x:c>
      <x:c r="E106" s="16" t="str">
        <x:v>Configure, explain, verify, break, and restore dhcp relay and option 82 on IOS XR.</x:v>
      </x:c>
      <x:c r="F106" s="16" t="str">
        <x:v>2 PE + access/host nodes</x:v>
      </x:c>
      <x:c r="G106" s="16" t="n">
        <x:v>6</x:v>
      </x:c>
      <x:c r="H106" s="16" t="str">
        <x:v>Expert</x:v>
      </x:c>
      <x:c r="I106" s="16" t="str">
        <x:v>Core</x:v>
      </x:c>
      <x:c r="J106" s="16" t="str">
        <x:v>LAB-101</x:v>
      </x:c>
      <x:c r="K106" s="16" t="str">
        <x:v>Not Started</x:v>
      </x:c>
      <x:c r="L106" s="16" t="n">
        <x:v>0</x:v>
      </x:c>
      <x:c r="M106" s="16" t="str"/>
      <x:c r="N106" s="33" t="str"/>
      <x:c r="O106" s="16" t="str">
        <x:v>Configs; control-plane output; forwarding/traffic proof; fault + root cause; pre/post/rollback</x:v>
      </x:c>
      <x:c r="P106" s="16" t="str"/>
      <x:c r="Q106" s="16" t="str">
        <x:v>Phase 9</x:v>
      </x:c>
    </x:row>
    <x:row r="107" ht="120" hidden="0" customHeight="1">
      <x:c r="A107" s="16" t="str">
        <x:v>LAB-103</x:v>
      </x:c>
      <x:c r="B107" s="16" t="n">
        <x:v>9</x:v>
      </x:c>
      <x:c r="C107" s="16" t="str">
        <x:v>Access, Metro &amp; Subscriber Edge</x:v>
      </x:c>
      <x:c r="D107" s="16" t="str">
        <x:v>PPPoE discovery/session workflow</x:v>
      </x:c>
      <x:c r="E107" s="16" t="str">
        <x:v>Configure, explain, verify, break, and restore pppoe discovery/session workflow on IOS XR.</x:v>
      </x:c>
      <x:c r="F107" s="16" t="str">
        <x:v>2 PE + access/host nodes</x:v>
      </x:c>
      <x:c r="G107" s="16" t="n">
        <x:v>4</x:v>
      </x:c>
      <x:c r="H107" s="16" t="str">
        <x:v>Advanced</x:v>
      </x:c>
      <x:c r="I107" s="16" t="str">
        <x:v>Recommended</x:v>
      </x:c>
      <x:c r="J107" s="16" t="str">
        <x:v>LAB-102</x:v>
      </x:c>
      <x:c r="K107" s="16" t="str">
        <x:v>Not Started</x:v>
      </x:c>
      <x:c r="L107" s="16" t="n">
        <x:v>0</x:v>
      </x:c>
      <x:c r="M107" s="16" t="str"/>
      <x:c r="N107" s="33" t="str"/>
      <x:c r="O107" s="16" t="str">
        <x:v>Configs; control-plane output; forwarding/traffic proof; fault + root cause; pre/post/rollback</x:v>
      </x:c>
      <x:c r="P107" s="16" t="str"/>
      <x:c r="Q107" s="16" t="str">
        <x:v>Phase 9</x:v>
      </x:c>
    </x:row>
    <x:row r="108" ht="108" hidden="0" customHeight="1">
      <x:c r="A108" s="16" t="str">
        <x:v>LAB-104</x:v>
      </x:c>
      <x:c r="B108" s="16" t="n">
        <x:v>9</x:v>
      </x:c>
      <x:c r="C108" s="16" t="str">
        <x:v>Access, Metro &amp; Subscriber Edge</x:v>
      </x:c>
      <x:c r="D108" s="16" t="str">
        <x:v>BNG subscriber session concepts</x:v>
      </x:c>
      <x:c r="E108" s="16" t="str">
        <x:v>Configure, explain, verify, break, and restore bng subscriber session concepts on IOS XR.</x:v>
      </x:c>
      <x:c r="F108" s="16" t="str">
        <x:v>2 PE + access/host nodes</x:v>
      </x:c>
      <x:c r="G108" s="16" t="n">
        <x:v>4</x:v>
      </x:c>
      <x:c r="H108" s="16" t="str">
        <x:v>Advanced</x:v>
      </x:c>
      <x:c r="I108" s="16" t="str">
        <x:v>Recommended</x:v>
      </x:c>
      <x:c r="J108" s="16" t="str">
        <x:v>LAB-103</x:v>
      </x:c>
      <x:c r="K108" s="16" t="str">
        <x:v>Not Started</x:v>
      </x:c>
      <x:c r="L108" s="16" t="n">
        <x:v>0</x:v>
      </x:c>
      <x:c r="M108" s="16" t="str"/>
      <x:c r="N108" s="33" t="str"/>
      <x:c r="O108" s="16" t="str">
        <x:v>Configs; control-plane output; forwarding/traffic proof; fault + root cause; pre/post/rollback</x:v>
      </x:c>
      <x:c r="P108" s="16" t="str"/>
      <x:c r="Q108" s="16" t="str">
        <x:v>Phase 9</x:v>
      </x:c>
    </x:row>
    <x:row r="109" ht="144" hidden="0" customHeight="1">
      <x:c r="A109" s="16" t="str">
        <x:v>LAB-105</x:v>
      </x:c>
      <x:c r="B109" s="16" t="n">
        <x:v>9</x:v>
      </x:c>
      <x:c r="C109" s="16" t="str">
        <x:v>Access, Metro &amp; Subscriber Edge</x:v>
      </x:c>
      <x:c r="D109" s="16" t="str">
        <x:v>Access dual-homing and service demarcation</x:v>
      </x:c>
      <x:c r="E109" s="16" t="str">
        <x:v>Configure, explain, verify, break, and restore access dual-homing and service demarcation on IOS XR.</x:v>
      </x:c>
      <x:c r="F109" s="16" t="str">
        <x:v>2 PE + access/host nodes</x:v>
      </x:c>
      <x:c r="G109" s="16" t="n">
        <x:v>4</x:v>
      </x:c>
      <x:c r="H109" s="16" t="str">
        <x:v>Advanced</x:v>
      </x:c>
      <x:c r="I109" s="16" t="str">
        <x:v>Core</x:v>
      </x:c>
      <x:c r="J109" s="16" t="str">
        <x:v>LAB-104</x:v>
      </x:c>
      <x:c r="K109" s="16" t="str">
        <x:v>Not Started</x:v>
      </x:c>
      <x:c r="L109" s="16" t="n">
        <x:v>0</x:v>
      </x:c>
      <x:c r="M109" s="16" t="str"/>
      <x:c r="N109" s="33" t="str"/>
      <x:c r="O109" s="16" t="str">
        <x:v>Configs; control-plane output; forwarding/traffic proof; fault + root cause; pre/post/rollback</x:v>
      </x:c>
      <x:c r="P109" s="16" t="str"/>
      <x:c r="Q109" s="16" t="str">
        <x:v>Phase 9</x:v>
      </x:c>
    </x:row>
    <x:row r="110" ht="132" hidden="0" customHeight="1">
      <x:c r="A110" s="16" t="str">
        <x:v>LAB-106</x:v>
      </x:c>
      <x:c r="B110" s="16" t="n">
        <x:v>10</x:v>
      </x:c>
      <x:c r="C110" s="16" t="str">
        <x:v>QoS &amp; Traffic Engineering</x:v>
      </x:c>
      <x:c r="D110" s="16" t="str">
        <x:v>Modular QoS CLI classification and marking</x:v>
      </x:c>
      <x:c r="E110" s="16" t="str">
        <x:v>Configure, explain, verify, break, and restore modular qos cli classification and marking on IOS XR.</x:v>
      </x:c>
      <x:c r="F110" s="16" t="str">
        <x:v>4–6 XR nodes</x:v>
      </x:c>
      <x:c r="G110" s="16" t="n">
        <x:v>4</x:v>
      </x:c>
      <x:c r="H110" s="16" t="str">
        <x:v>Advanced</x:v>
      </x:c>
      <x:c r="I110" s="16" t="str">
        <x:v>Core</x:v>
      </x:c>
      <x:c r="J110" s="16" t="str"/>
      <x:c r="K110" s="16" t="str">
        <x:v>Not Started</x:v>
      </x:c>
      <x:c r="L110" s="16" t="n">
        <x:v>0</x:v>
      </x:c>
      <x:c r="M110" s="16" t="str"/>
      <x:c r="N110" s="33" t="str"/>
      <x:c r="O110" s="16" t="str">
        <x:v>Configs; control-plane output; forwarding/traffic proof; fault + root cause; pre/post/rollback</x:v>
      </x:c>
      <x:c r="P110" s="16" t="str"/>
      <x:c r="Q110" s="16" t="str">
        <x:v>Phase 10</x:v>
      </x:c>
    </x:row>
    <x:row r="111" ht="120" hidden="0" customHeight="1">
      <x:c r="A111" s="16" t="str">
        <x:v>LAB-107</x:v>
      </x:c>
      <x:c r="B111" s="16" t="n">
        <x:v>10</x:v>
      </x:c>
      <x:c r="C111" s="16" t="str">
        <x:v>QoS &amp; Traffic Engineering</x:v>
      </x:c>
      <x:c r="D111" s="16" t="str">
        <x:v>Ingress policing and color-aware behavior</x:v>
      </x:c>
      <x:c r="E111" s="16" t="str">
        <x:v>Configure, explain, verify, break, and restore ingress policing and color-aware behavior on IOS XR.</x:v>
      </x:c>
      <x:c r="F111" s="16" t="str">
        <x:v>4–6 XR nodes</x:v>
      </x:c>
      <x:c r="G111" s="16" t="n">
        <x:v>4</x:v>
      </x:c>
      <x:c r="H111" s="16" t="str">
        <x:v>Advanced</x:v>
      </x:c>
      <x:c r="I111" s="16" t="str">
        <x:v>Recommended</x:v>
      </x:c>
      <x:c r="J111" s="16" t="str">
        <x:v>LAB-106</x:v>
      </x:c>
      <x:c r="K111" s="16" t="str">
        <x:v>Not Started</x:v>
      </x:c>
      <x:c r="L111" s="16" t="n">
        <x:v>0</x:v>
      </x:c>
      <x:c r="M111" s="16" t="str"/>
      <x:c r="N111" s="33" t="str"/>
      <x:c r="O111" s="16" t="str">
        <x:v>Configs; control-plane output; forwarding/traffic proof; fault + root cause; pre/post/rollback</x:v>
      </x:c>
      <x:c r="P111" s="16" t="str"/>
      <x:c r="Q111" s="16" t="str">
        <x:v>Phase 10</x:v>
      </x:c>
    </x:row>
    <x:row r="112" ht="132" hidden="0" customHeight="1">
      <x:c r="A112" s="16" t="str">
        <x:v>LAB-108</x:v>
      </x:c>
      <x:c r="B112" s="16" t="n">
        <x:v>10</x:v>
      </x:c>
      <x:c r="C112" s="16" t="str">
        <x:v>QoS &amp; Traffic Engineering</x:v>
      </x:c>
      <x:c r="D112" s="16" t="str">
        <x:v>Egress shaping and hierarchical QoS</x:v>
      </x:c>
      <x:c r="E112" s="16" t="str">
        <x:v>Configure, explain, verify, break, and restore egress shaping and hierarchical qos on IOS XR.</x:v>
      </x:c>
      <x:c r="F112" s="16" t="str">
        <x:v>4–6 XR nodes</x:v>
      </x:c>
      <x:c r="G112" s="16" t="n">
        <x:v>4</x:v>
      </x:c>
      <x:c r="H112" s="16" t="str">
        <x:v>Advanced</x:v>
      </x:c>
      <x:c r="I112" s="16" t="str">
        <x:v>Recommended</x:v>
      </x:c>
      <x:c r="J112" s="16" t="str">
        <x:v>LAB-107</x:v>
      </x:c>
      <x:c r="K112" s="16" t="str">
        <x:v>Not Started</x:v>
      </x:c>
      <x:c r="L112" s="16" t="n">
        <x:v>0</x:v>
      </x:c>
      <x:c r="M112" s="16" t="str"/>
      <x:c r="N112" s="33" t="str"/>
      <x:c r="O112" s="16" t="str">
        <x:v>Configs; control-plane output; forwarding/traffic proof; fault + root cause; pre/post/rollback</x:v>
      </x:c>
      <x:c r="P112" s="16" t="str"/>
      <x:c r="Q112" s="16" t="str">
        <x:v>Phase 10</x:v>
      </x:c>
    </x:row>
    <x:row r="113" ht="132" hidden="0" customHeight="1">
      <x:c r="A113" s="16" t="str">
        <x:v>LAB-109</x:v>
      </x:c>
      <x:c r="B113" s="16" t="n">
        <x:v>10</x:v>
      </x:c>
      <x:c r="C113" s="16" t="str">
        <x:v>QoS &amp; Traffic Engineering</x:v>
      </x:c>
      <x:c r="D113" s="16" t="str">
        <x:v>Priority queuing and starvation protection</x:v>
      </x:c>
      <x:c r="E113" s="16" t="str">
        <x:v>Configure, explain, verify, break, and restore priority queuing and starvation protection on IOS XR.</x:v>
      </x:c>
      <x:c r="F113" s="16" t="str">
        <x:v>4–6 XR nodes</x:v>
      </x:c>
      <x:c r="G113" s="16" t="n">
        <x:v>6</x:v>
      </x:c>
      <x:c r="H113" s="16" t="str">
        <x:v>Expert</x:v>
      </x:c>
      <x:c r="I113" s="16" t="str">
        <x:v>Core</x:v>
      </x:c>
      <x:c r="J113" s="16" t="str">
        <x:v>LAB-108</x:v>
      </x:c>
      <x:c r="K113" s="16" t="str">
        <x:v>Not Started</x:v>
      </x:c>
      <x:c r="L113" s="16" t="n">
        <x:v>0</x:v>
      </x:c>
      <x:c r="M113" s="16" t="str"/>
      <x:c r="N113" s="33" t="str"/>
      <x:c r="O113" s="16" t="str">
        <x:v>Configs; control-plane output; forwarding/traffic proof; fault + root cause; pre/post/rollback</x:v>
      </x:c>
      <x:c r="P113" s="16" t="str"/>
      <x:c r="Q113" s="16" t="str">
        <x:v>Phase 10</x:v>
      </x:c>
    </x:row>
    <x:row r="114" ht="108" hidden="0" customHeight="1">
      <x:c r="A114" s="16" t="str">
        <x:v>LAB-110</x:v>
      </x:c>
      <x:c r="B114" s="16" t="n">
        <x:v>10</x:v>
      </x:c>
      <x:c r="C114" s="16" t="str">
        <x:v>QoS &amp; Traffic Engineering</x:v>
      </x:c>
      <x:c r="D114" s="16" t="str">
        <x:v>WRED and congestion avoidance</x:v>
      </x:c>
      <x:c r="E114" s="16" t="str">
        <x:v>Configure, explain, verify, break, and restore wred and congestion avoidance on IOS XR.</x:v>
      </x:c>
      <x:c r="F114" s="16" t="str">
        <x:v>4–6 XR nodes</x:v>
      </x:c>
      <x:c r="G114" s="16" t="n">
        <x:v>4</x:v>
      </x:c>
      <x:c r="H114" s="16" t="str">
        <x:v>Advanced</x:v>
      </x:c>
      <x:c r="I114" s="16" t="str">
        <x:v>Recommended</x:v>
      </x:c>
      <x:c r="J114" s="16" t="str">
        <x:v>LAB-109</x:v>
      </x:c>
      <x:c r="K114" s="16" t="str">
        <x:v>Not Started</x:v>
      </x:c>
      <x:c r="L114" s="16" t="n">
        <x:v>0</x:v>
      </x:c>
      <x:c r="M114" s="16" t="str"/>
      <x:c r="N114" s="33" t="str"/>
      <x:c r="O114" s="16" t="str">
        <x:v>Configs; control-plane output; forwarding/traffic proof; fault + root cause; pre/post/rollback</x:v>
      </x:c>
      <x:c r="P114" s="16" t="str"/>
      <x:c r="Q114" s="16" t="str">
        <x:v>Phase 10</x:v>
      </x:c>
    </x:row>
    <x:row r="115" ht="108" hidden="0" customHeight="1">
      <x:c r="A115" s="16" t="str">
        <x:v>LAB-111</x:v>
      </x:c>
      <x:c r="B115" s="16" t="n">
        <x:v>10</x:v>
      </x:c>
      <x:c r="C115" s="16" t="str">
        <x:v>QoS &amp; Traffic Engineering</x:v>
      </x:c>
      <x:c r="D115" s="16" t="str">
        <x:v>MPLS EXP/TC propagation models</x:v>
      </x:c>
      <x:c r="E115" s="16" t="str">
        <x:v>Configure, explain, verify, break, and restore mpls exp/tc propagation models on IOS XR.</x:v>
      </x:c>
      <x:c r="F115" s="16" t="str">
        <x:v>4–6 XR nodes</x:v>
      </x:c>
      <x:c r="G115" s="16" t="n">
        <x:v>4</x:v>
      </x:c>
      <x:c r="H115" s="16" t="str">
        <x:v>Advanced</x:v>
      </x:c>
      <x:c r="I115" s="16" t="str">
        <x:v>Recommended</x:v>
      </x:c>
      <x:c r="J115" s="16" t="str">
        <x:v>LAB-110</x:v>
      </x:c>
      <x:c r="K115" s="16" t="str">
        <x:v>Not Started</x:v>
      </x:c>
      <x:c r="L115" s="16" t="n">
        <x:v>0</x:v>
      </x:c>
      <x:c r="M115" s="16" t="str"/>
      <x:c r="N115" s="33" t="str"/>
      <x:c r="O115" s="16" t="str">
        <x:v>Configs; control-plane output; forwarding/traffic proof; fault + root cause; pre/post/rollback</x:v>
      </x:c>
      <x:c r="P115" s="16" t="str"/>
      <x:c r="Q115" s="16" t="str">
        <x:v>Phase 10</x:v>
      </x:c>
    </x:row>
    <x:row r="116" ht="108" hidden="0" customHeight="1">
      <x:c r="A116" s="16" t="str">
        <x:v>LAB-112</x:v>
      </x:c>
      <x:c r="B116" s="16" t="n">
        <x:v>10</x:v>
      </x:c>
      <x:c r="C116" s="16" t="str">
        <x:v>QoS &amp; Traffic Engineering</x:v>
      </x:c>
      <x:c r="D116" s="16" t="str">
        <x:v>QoS for L3VPN and L2VPN services</x:v>
      </x:c>
      <x:c r="E116" s="16" t="str">
        <x:v>Configure, explain, verify, break, and restore qos for l3vpn and l2vpn services on IOS XR.</x:v>
      </x:c>
      <x:c r="F116" s="16" t="str">
        <x:v>4–6 XR nodes</x:v>
      </x:c>
      <x:c r="G116" s="16" t="n">
        <x:v>4</x:v>
      </x:c>
      <x:c r="H116" s="16" t="str">
        <x:v>Advanced</x:v>
      </x:c>
      <x:c r="I116" s="16" t="str">
        <x:v>Core</x:v>
      </x:c>
      <x:c r="J116" s="16" t="str">
        <x:v>LAB-111</x:v>
      </x:c>
      <x:c r="K116" s="16" t="str">
        <x:v>Not Started</x:v>
      </x:c>
      <x:c r="L116" s="16" t="n">
        <x:v>0</x:v>
      </x:c>
      <x:c r="M116" s="16" t="str"/>
      <x:c r="N116" s="33" t="str"/>
      <x:c r="O116" s="16" t="str">
        <x:v>Configs; control-plane output; forwarding/traffic proof; fault + root cause; pre/post/rollback</x:v>
      </x:c>
      <x:c r="P116" s="16" t="str"/>
      <x:c r="Q116" s="16" t="str">
        <x:v>Phase 10</x:v>
      </x:c>
    </x:row>
    <x:row r="117" ht="132" hidden="0" customHeight="1">
      <x:c r="A117" s="16" t="str">
        <x:v>LAB-113</x:v>
      </x:c>
      <x:c r="B117" s="16" t="n">
        <x:v>10</x:v>
      </x:c>
      <x:c r="C117" s="16" t="str">
        <x:v>QoS &amp; Traffic Engineering</x:v>
      </x:c>
      <x:c r="D117" s="16" t="str">
        <x:v>Measure loss, delay and queue behavior under load</x:v>
      </x:c>
      <x:c r="E117" s="16" t="str">
        <x:v>Configure, explain, verify, break, and restore measure loss, delay and queue behavior under load on IOS XR.</x:v>
      </x:c>
      <x:c r="F117" s="16" t="str">
        <x:v>4–6 XR nodes</x:v>
      </x:c>
      <x:c r="G117" s="16" t="n">
        <x:v>6</x:v>
      </x:c>
      <x:c r="H117" s="16" t="str">
        <x:v>Expert</x:v>
      </x:c>
      <x:c r="I117" s="16" t="str">
        <x:v>Recommended</x:v>
      </x:c>
      <x:c r="J117" s="16" t="str">
        <x:v>LAB-112</x:v>
      </x:c>
      <x:c r="K117" s="16" t="str">
        <x:v>Not Started</x:v>
      </x:c>
      <x:c r="L117" s="16" t="n">
        <x:v>0</x:v>
      </x:c>
      <x:c r="M117" s="16" t="str"/>
      <x:c r="N117" s="33" t="str"/>
      <x:c r="O117" s="16" t="str">
        <x:v>Configs; control-plane output; forwarding/traffic proof; fault + root cause; pre/post/rollback</x:v>
      </x:c>
      <x:c r="P117" s="16" t="str"/>
      <x:c r="Q117" s="16" t="str">
        <x:v>Phase 10</x:v>
      </x:c>
    </x:row>
    <x:row r="118" ht="108" hidden="0" customHeight="1">
      <x:c r="A118" s="16" t="str">
        <x:v>LAB-114</x:v>
      </x:c>
      <x:c r="B118" s="16" t="n">
        <x:v>11</x:v>
      </x:c>
      <x:c r="C118" s="16" t="str">
        <x:v>High Availability &amp; Fast Convergence</x:v>
      </x:c>
      <x:c r="D118" s="16" t="str">
        <x:v>BFD for IGP and BGP</x:v>
      </x:c>
      <x:c r="E118" s="16" t="str">
        <x:v>Configure, explain, verify, break, and restore bfd for igp and bgp on IOS XR.</x:v>
      </x:c>
      <x:c r="F118" s="16" t="str">
        <x:v>4–6 XR nodes</x:v>
      </x:c>
      <x:c r="G118" s="16" t="n">
        <x:v>4</x:v>
      </x:c>
      <x:c r="H118" s="16" t="str">
        <x:v>Advanced</x:v>
      </x:c>
      <x:c r="I118" s="16" t="str">
        <x:v>Core</x:v>
      </x:c>
      <x:c r="J118" s="16" t="str"/>
      <x:c r="K118" s="16" t="str">
        <x:v>Not Started</x:v>
      </x:c>
      <x:c r="L118" s="16" t="n">
        <x:v>0</x:v>
      </x:c>
      <x:c r="M118" s="16" t="str"/>
      <x:c r="N118" s="33" t="str"/>
      <x:c r="O118" s="16" t="str">
        <x:v>Configs; control-plane output; forwarding/traffic proof; fault + root cause; pre/post/rollback</x:v>
      </x:c>
      <x:c r="P118" s="16" t="str"/>
      <x:c r="Q118" s="16" t="str">
        <x:v>Phase 11</x:v>
      </x:c>
    </x:row>
    <x:row r="119" ht="132" hidden="0" customHeight="1">
      <x:c r="A119" s="16" t="str">
        <x:v>LAB-115</x:v>
      </x:c>
      <x:c r="B119" s="16" t="n">
        <x:v>11</x:v>
      </x:c>
      <x:c r="C119" s="16" t="str">
        <x:v>High Availability &amp; Fast Convergence</x:v>
      </x:c>
      <x:c r="D119" s="16" t="str">
        <x:v>IGP fast convergence and SPF/LSP throttling</x:v>
      </x:c>
      <x:c r="E119" s="16" t="str">
        <x:v>Configure, explain, verify, break, and restore igp fast convergence and spf/lsp throttling on IOS XR.</x:v>
      </x:c>
      <x:c r="F119" s="16" t="str">
        <x:v>4–6 XR nodes</x:v>
      </x:c>
      <x:c r="G119" s="16" t="n">
        <x:v>4</x:v>
      </x:c>
      <x:c r="H119" s="16" t="str">
        <x:v>Advanced</x:v>
      </x:c>
      <x:c r="I119" s="16" t="str">
        <x:v>Core</x:v>
      </x:c>
      <x:c r="J119" s="16" t="str">
        <x:v>LAB-114</x:v>
      </x:c>
      <x:c r="K119" s="16" t="str">
        <x:v>Not Started</x:v>
      </x:c>
      <x:c r="L119" s="16" t="n">
        <x:v>0</x:v>
      </x:c>
      <x:c r="M119" s="16" t="str"/>
      <x:c r="N119" s="33" t="str"/>
      <x:c r="O119" s="16" t="str">
        <x:v>Configs; control-plane output; forwarding/traffic proof; fault + root cause; pre/post/rollback</x:v>
      </x:c>
      <x:c r="P119" s="16" t="str"/>
      <x:c r="Q119" s="16" t="str">
        <x:v>Phase 11</x:v>
      </x:c>
    </x:row>
    <x:row r="120" ht="132" hidden="0" customHeight="1">
      <x:c r="A120" s="16" t="str">
        <x:v>LAB-116</x:v>
      </x:c>
      <x:c r="B120" s="16" t="n">
        <x:v>11</x:v>
      </x:c>
      <x:c r="C120" s="16" t="str">
        <x:v>High Availability &amp; Fast Convergence</x:v>
      </x:c>
      <x:c r="D120" s="16" t="str">
        <x:v>LDP session protection and graceful restart</x:v>
      </x:c>
      <x:c r="E120" s="16" t="str">
        <x:v>Configure, explain, verify, break, and restore ldp session protection and graceful restart on IOS XR.</x:v>
      </x:c>
      <x:c r="F120" s="16" t="str">
        <x:v>4–6 XR nodes</x:v>
      </x:c>
      <x:c r="G120" s="16" t="n">
        <x:v>4</x:v>
      </x:c>
      <x:c r="H120" s="16" t="str">
        <x:v>Advanced</x:v>
      </x:c>
      <x:c r="I120" s="16" t="str">
        <x:v>Core</x:v>
      </x:c>
      <x:c r="J120" s="16" t="str">
        <x:v>LAB-115</x:v>
      </x:c>
      <x:c r="K120" s="16" t="str">
        <x:v>Not Started</x:v>
      </x:c>
      <x:c r="L120" s="16" t="n">
        <x:v>0</x:v>
      </x:c>
      <x:c r="M120" s="16" t="str"/>
      <x:c r="N120" s="33" t="str"/>
      <x:c r="O120" s="16" t="str">
        <x:v>Configs; control-plane output; forwarding/traffic proof; fault + root cause; pre/post/rollback</x:v>
      </x:c>
      <x:c r="P120" s="16" t="str"/>
      <x:c r="Q120" s="16" t="str">
        <x:v>Phase 11</x:v>
      </x:c>
    </x:row>
    <x:row r="121" ht="120" hidden="0" customHeight="1">
      <x:c r="A121" s="16" t="str">
        <x:v>LAB-117</x:v>
      </x:c>
      <x:c r="B121" s="16" t="n">
        <x:v>11</x:v>
      </x:c>
      <x:c r="C121" s="16" t="str">
        <x:v>High Availability &amp; Fast Convergence</x:v>
      </x:c>
      <x:c r="D121" s="16" t="str">
        <x:v>BGP graceful restart and long-lived GR analysis</x:v>
      </x:c>
      <x:c r="E121" s="16" t="str">
        <x:v>Configure, explain, verify, break, and restore bgp graceful restart and long-lived gr analysis on IOS XR.</x:v>
      </x:c>
      <x:c r="F121" s="16" t="str">
        <x:v>4–6 XR nodes</x:v>
      </x:c>
      <x:c r="G121" s="16" t="n">
        <x:v>6</x:v>
      </x:c>
      <x:c r="H121" s="16" t="str">
        <x:v>Expert</x:v>
      </x:c>
      <x:c r="I121" s="16" t="str">
        <x:v>Core</x:v>
      </x:c>
      <x:c r="J121" s="16" t="str">
        <x:v>LAB-116</x:v>
      </x:c>
      <x:c r="K121" s="16" t="str">
        <x:v>Not Started</x:v>
      </x:c>
      <x:c r="L121" s="16" t="n">
        <x:v>0</x:v>
      </x:c>
      <x:c r="M121" s="16" t="str"/>
      <x:c r="N121" s="33" t="str"/>
      <x:c r="O121" s="16" t="str">
        <x:v>Configs; control-plane output; forwarding/traffic proof; fault + root cause; pre/post/rollback</x:v>
      </x:c>
      <x:c r="P121" s="16" t="str"/>
      <x:c r="Q121" s="16" t="str">
        <x:v>Phase 11</x:v>
      </x:c>
    </x:row>
    <x:row r="122" ht="120" hidden="0" customHeight="1">
      <x:c r="A122" s="16" t="str">
        <x:v>LAB-118</x:v>
      </x:c>
      <x:c r="B122" s="16" t="n">
        <x:v>11</x:v>
      </x:c>
      <x:c r="C122" s="16" t="str">
        <x:v>High Availability &amp; Fast Convergence</x:v>
      </x:c>
      <x:c r="D122" s="16" t="str">
        <x:v>NSR and process restart behavior</x:v>
      </x:c>
      <x:c r="E122" s="16" t="str">
        <x:v>Configure, explain, verify, break, and restore nsr and process restart behavior on IOS XR.</x:v>
      </x:c>
      <x:c r="F122" s="16" t="str">
        <x:v>4–6 XR nodes</x:v>
      </x:c>
      <x:c r="G122" s="16" t="n">
        <x:v>4</x:v>
      </x:c>
      <x:c r="H122" s="16" t="str">
        <x:v>Advanced</x:v>
      </x:c>
      <x:c r="I122" s="16" t="str">
        <x:v>Core</x:v>
      </x:c>
      <x:c r="J122" s="16" t="str">
        <x:v>LAB-117</x:v>
      </x:c>
      <x:c r="K122" s="16" t="str">
        <x:v>Not Started</x:v>
      </x:c>
      <x:c r="L122" s="16" t="n">
        <x:v>0</x:v>
      </x:c>
      <x:c r="M122" s="16" t="str"/>
      <x:c r="N122" s="33" t="str"/>
      <x:c r="O122" s="16" t="str">
        <x:v>Configs; control-plane output; forwarding/traffic proof; fault + root cause; pre/post/rollback</x:v>
      </x:c>
      <x:c r="P122" s="16" t="str"/>
      <x:c r="Q122" s="16" t="str">
        <x:v>Phase 11</x:v>
      </x:c>
    </x:row>
    <x:row r="123" ht="108" hidden="0" customHeight="1">
      <x:c r="A123" s="16" t="str">
        <x:v>LAB-119</x:v>
      </x:c>
      <x:c r="B123" s="16" t="n">
        <x:v>11</x:v>
      </x:c>
      <x:c r="C123" s="16" t="str">
        <x:v>High Availability &amp; Fast Convergence</x:v>
      </x:c>
      <x:c r="D123" s="16" t="str">
        <x:v>MPLS FRR versus TI-LFA comparison</x:v>
      </x:c>
      <x:c r="E123" s="16" t="str">
        <x:v>Configure, explain, verify, break, and restore mpls frr versus ti-lfa comparison on IOS XR.</x:v>
      </x:c>
      <x:c r="F123" s="16" t="str">
        <x:v>4–6 XR nodes</x:v>
      </x:c>
      <x:c r="G123" s="16" t="n">
        <x:v>4</x:v>
      </x:c>
      <x:c r="H123" s="16" t="str">
        <x:v>Advanced</x:v>
      </x:c>
      <x:c r="I123" s="16" t="str">
        <x:v>Core</x:v>
      </x:c>
      <x:c r="J123" s="16" t="str">
        <x:v>LAB-118</x:v>
      </x:c>
      <x:c r="K123" s="16" t="str">
        <x:v>Not Started</x:v>
      </x:c>
      <x:c r="L123" s="16" t="n">
        <x:v>0</x:v>
      </x:c>
      <x:c r="M123" s="16" t="str"/>
      <x:c r="N123" s="33" t="str"/>
      <x:c r="O123" s="16" t="str">
        <x:v>Configs; control-plane output; forwarding/traffic proof; fault + root cause; pre/post/rollback</x:v>
      </x:c>
      <x:c r="P123" s="16" t="str"/>
      <x:c r="Q123" s="16" t="str">
        <x:v>Phase 11</x:v>
      </x:c>
    </x:row>
    <x:row r="124" ht="132" hidden="0" customHeight="1">
      <x:c r="A124" s="16" t="str">
        <x:v>LAB-120</x:v>
      </x:c>
      <x:c r="B124" s="16" t="n">
        <x:v>11</x:v>
      </x:c>
      <x:c r="C124" s="16" t="str">
        <x:v>High Availability &amp; Fast Convergence</x:v>
      </x:c>
      <x:c r="D124" s="16" t="str">
        <x:v>Node isolation and maintenance workflow</x:v>
      </x:c>
      <x:c r="E124" s="16" t="str">
        <x:v>Configure, explain, verify, break, and restore node isolation and maintenance workflow on IOS XR.</x:v>
      </x:c>
      <x:c r="F124" s="16" t="str">
        <x:v>4–6 XR nodes</x:v>
      </x:c>
      <x:c r="G124" s="16" t="n">
        <x:v>4</x:v>
      </x:c>
      <x:c r="H124" s="16" t="str">
        <x:v>Advanced</x:v>
      </x:c>
      <x:c r="I124" s="16" t="str">
        <x:v>Core</x:v>
      </x:c>
      <x:c r="J124" s="16" t="str">
        <x:v>LAB-119</x:v>
      </x:c>
      <x:c r="K124" s="16" t="str">
        <x:v>Not Started</x:v>
      </x:c>
      <x:c r="L124" s="16" t="n">
        <x:v>0</x:v>
      </x:c>
      <x:c r="M124" s="16" t="str"/>
      <x:c r="N124" s="33" t="str"/>
      <x:c r="O124" s="16" t="str">
        <x:v>Configs; control-plane output; forwarding/traffic proof; fault + root cause; pre/post/rollback</x:v>
      </x:c>
      <x:c r="P124" s="16" t="str"/>
      <x:c r="Q124" s="16" t="str">
        <x:v>Phase 11</x:v>
      </x:c>
    </x:row>
    <x:row r="125" ht="144" hidden="0" customHeight="1">
      <x:c r="A125" s="16" t="str">
        <x:v>LAB-121</x:v>
      </x:c>
      <x:c r="B125" s="16" t="n">
        <x:v>11</x:v>
      </x:c>
      <x:c r="C125" s="16" t="str">
        <x:v>High Availability &amp; Fast Convergence</x:v>
      </x:c>
      <x:c r="D125" s="16" t="str">
        <x:v>Dual-RR and PE failure convergence measurement</x:v>
      </x:c>
      <x:c r="E125" s="16" t="str">
        <x:v>Configure, explain, verify, break, and restore dual-rr and pe failure convergence measurement on IOS XR.</x:v>
      </x:c>
      <x:c r="F125" s="16" t="str">
        <x:v>4–6 XR nodes</x:v>
      </x:c>
      <x:c r="G125" s="16" t="n">
        <x:v>6</x:v>
      </x:c>
      <x:c r="H125" s="16" t="str">
        <x:v>Expert</x:v>
      </x:c>
      <x:c r="I125" s="16" t="str">
        <x:v>Core</x:v>
      </x:c>
      <x:c r="J125" s="16" t="str">
        <x:v>LAB-120</x:v>
      </x:c>
      <x:c r="K125" s="16" t="str">
        <x:v>Not Started</x:v>
      </x:c>
      <x:c r="L125" s="16" t="n">
        <x:v>0</x:v>
      </x:c>
      <x:c r="M125" s="16" t="str"/>
      <x:c r="N125" s="33" t="str"/>
      <x:c r="O125" s="16" t="str">
        <x:v>Configs; control-plane output; forwarding/traffic proof; fault + root cause; pre/post/rollback</x:v>
      </x:c>
      <x:c r="P125" s="16" t="str"/>
      <x:c r="Q125" s="16" t="str">
        <x:v>Phase 11</x:v>
      </x:c>
    </x:row>
    <x:row r="126" ht="120" hidden="0" customHeight="1">
      <x:c r="A126" s="16" t="str">
        <x:v>LAB-122</x:v>
      </x:c>
      <x:c r="B126" s="16" t="n">
        <x:v>12</x:v>
      </x:c>
      <x:c r="C126" s="16" t="str">
        <x:v>Security &amp; Infrastructure Protection</x:v>
      </x:c>
      <x:c r="D126" s="16" t="str">
        <x:v>Control Plane Policing baseline</x:v>
      </x:c>
      <x:c r="E126" s="16" t="str">
        <x:v>Configure, explain, verify, break, and restore control plane policing baseline on IOS XR.</x:v>
      </x:c>
      <x:c r="F126" s="16" t="str">
        <x:v>4–6 XR nodes</x:v>
      </x:c>
      <x:c r="G126" s="16" t="n">
        <x:v>4</x:v>
      </x:c>
      <x:c r="H126" s="16" t="str">
        <x:v>Advanced</x:v>
      </x:c>
      <x:c r="I126" s="16" t="str">
        <x:v>Core</x:v>
      </x:c>
      <x:c r="J126" s="16" t="str"/>
      <x:c r="K126" s="16" t="str">
        <x:v>Not Started</x:v>
      </x:c>
      <x:c r="L126" s="16" t="n">
        <x:v>0</x:v>
      </x:c>
      <x:c r="M126" s="16" t="str"/>
      <x:c r="N126" s="33" t="str"/>
      <x:c r="O126" s="16" t="str">
        <x:v>Configs; control-plane output; forwarding/traffic proof; fault + root cause; pre/post/rollback</x:v>
      </x:c>
      <x:c r="P126" s="16" t="str"/>
      <x:c r="Q126" s="16" t="str">
        <x:v>Phase 12</x:v>
      </x:c>
    </x:row>
    <x:row r="127" ht="120" hidden="0" customHeight="1">
      <x:c r="A127" s="16" t="str">
        <x:v>LAB-123</x:v>
      </x:c>
      <x:c r="B127" s="16" t="n">
        <x:v>12</x:v>
      </x:c>
      <x:c r="C127" s="16" t="str">
        <x:v>Security &amp; Infrastructure Protection</x:v>
      </x:c>
      <x:c r="D127" s="16" t="str">
        <x:v>Routing protocol authentication matrix</x:v>
      </x:c>
      <x:c r="E127" s="16" t="str">
        <x:v>Configure, explain, verify, break, and restore routing protocol authentication matrix on IOS XR.</x:v>
      </x:c>
      <x:c r="F127" s="16" t="str">
        <x:v>4–6 XR nodes</x:v>
      </x:c>
      <x:c r="G127" s="16" t="n">
        <x:v>4</x:v>
      </x:c>
      <x:c r="H127" s="16" t="str">
        <x:v>Advanced</x:v>
      </x:c>
      <x:c r="I127" s="16" t="str">
        <x:v>Recommended</x:v>
      </x:c>
      <x:c r="J127" s="16" t="str">
        <x:v>LAB-122</x:v>
      </x:c>
      <x:c r="K127" s="16" t="str">
        <x:v>Not Started</x:v>
      </x:c>
      <x:c r="L127" s="16" t="n">
        <x:v>0</x:v>
      </x:c>
      <x:c r="M127" s="16" t="str"/>
      <x:c r="N127" s="33" t="str"/>
      <x:c r="O127" s="16" t="str">
        <x:v>Configs; control-plane output; forwarding/traffic proof; fault + root cause; pre/post/rollback</x:v>
      </x:c>
      <x:c r="P127" s="16" t="str"/>
      <x:c r="Q127" s="16" t="str">
        <x:v>Phase 12</x:v>
      </x:c>
    </x:row>
    <x:row r="128" ht="120" hidden="0" customHeight="1">
      <x:c r="A128" s="16" t="str">
        <x:v>LAB-124</x:v>
      </x:c>
      <x:c r="B128" s="16" t="n">
        <x:v>12</x:v>
      </x:c>
      <x:c r="C128" s="16" t="str">
        <x:v>Security &amp; Infrastructure Protection</x:v>
      </x:c>
      <x:c r="D128" s="16" t="str">
        <x:v>BGP GTSM/TTL security and TCP protection</x:v>
      </x:c>
      <x:c r="E128" s="16" t="str">
        <x:v>Configure, explain, verify, break, and restore bgp gtsm/ttl security and tcp protection on IOS XR.</x:v>
      </x:c>
      <x:c r="F128" s="16" t="str">
        <x:v>4–6 XR nodes</x:v>
      </x:c>
      <x:c r="G128" s="16" t="n">
        <x:v>4</x:v>
      </x:c>
      <x:c r="H128" s="16" t="str">
        <x:v>Advanced</x:v>
      </x:c>
      <x:c r="I128" s="16" t="str">
        <x:v>Recommended</x:v>
      </x:c>
      <x:c r="J128" s="16" t="str">
        <x:v>LAB-123</x:v>
      </x:c>
      <x:c r="K128" s="16" t="str">
        <x:v>Not Started</x:v>
      </x:c>
      <x:c r="L128" s="16" t="n">
        <x:v>0</x:v>
      </x:c>
      <x:c r="M128" s="16" t="str"/>
      <x:c r="N128" s="33" t="str"/>
      <x:c r="O128" s="16" t="str">
        <x:v>Configs; control-plane output; forwarding/traffic proof; fault + root cause; pre/post/rollback</x:v>
      </x:c>
      <x:c r="P128" s="16" t="str"/>
      <x:c r="Q128" s="16" t="str">
        <x:v>Phase 12</x:v>
      </x:c>
    </x:row>
    <x:row r="129" ht="132" hidden="0" customHeight="1">
      <x:c r="A129" s="16" t="str">
        <x:v>LAB-125</x:v>
      </x:c>
      <x:c r="B129" s="16" t="n">
        <x:v>12</x:v>
      </x:c>
      <x:c r="C129" s="16" t="str">
        <x:v>Security &amp; Infrastructure Protection</x:v>
      </x:c>
      <x:c r="D129" s="16" t="str">
        <x:v>Infrastructure ACL for management and routing</x:v>
      </x:c>
      <x:c r="E129" s="16" t="str">
        <x:v>Configure, explain, verify, break, and restore infrastructure acl for management and routing on IOS XR.</x:v>
      </x:c>
      <x:c r="F129" s="16" t="str">
        <x:v>4–6 XR nodes</x:v>
      </x:c>
      <x:c r="G129" s="16" t="n">
        <x:v>6</x:v>
      </x:c>
      <x:c r="H129" s="16" t="str">
        <x:v>Expert</x:v>
      </x:c>
      <x:c r="I129" s="16" t="str">
        <x:v>Core</x:v>
      </x:c>
      <x:c r="J129" s="16" t="str">
        <x:v>LAB-124</x:v>
      </x:c>
      <x:c r="K129" s="16" t="str">
        <x:v>Not Started</x:v>
      </x:c>
      <x:c r="L129" s="16" t="n">
        <x:v>0</x:v>
      </x:c>
      <x:c r="M129" s="16" t="str"/>
      <x:c r="N129" s="33" t="str"/>
      <x:c r="O129" s="16" t="str">
        <x:v>Configs; control-plane output; forwarding/traffic proof; fault + root cause; pre/post/rollback</x:v>
      </x:c>
      <x:c r="P129" s="16" t="str"/>
      <x:c r="Q129" s="16" t="str">
        <x:v>Phase 12</x:v>
      </x:c>
    </x:row>
    <x:row r="130" ht="108" hidden="0" customHeight="1">
      <x:c r="A130" s="16" t="str">
        <x:v>LAB-126</x:v>
      </x:c>
      <x:c r="B130" s="16" t="n">
        <x:v>12</x:v>
      </x:c>
      <x:c r="C130" s="16" t="str">
        <x:v>Security &amp; Infrastructure Protection</x:v>
      </x:c>
      <x:c r="D130" s="16" t="str">
        <x:v>uRPF strict, loose and feasible modes</x:v>
      </x:c>
      <x:c r="E130" s="16" t="str">
        <x:v>Configure, explain, verify, break, and restore urpf strict, loose and feasible modes on IOS XR.</x:v>
      </x:c>
      <x:c r="F130" s="16" t="str">
        <x:v>4–6 XR nodes</x:v>
      </x:c>
      <x:c r="G130" s="16" t="n">
        <x:v>4</x:v>
      </x:c>
      <x:c r="H130" s="16" t="str">
        <x:v>Advanced</x:v>
      </x:c>
      <x:c r="I130" s="16" t="str">
        <x:v>Recommended</x:v>
      </x:c>
      <x:c r="J130" s="16" t="str">
        <x:v>LAB-125</x:v>
      </x:c>
      <x:c r="K130" s="16" t="str">
        <x:v>Not Started</x:v>
      </x:c>
      <x:c r="L130" s="16" t="n">
        <x:v>0</x:v>
      </x:c>
      <x:c r="M130" s="16" t="str"/>
      <x:c r="N130" s="33" t="str"/>
      <x:c r="O130" s="16" t="str">
        <x:v>Configs; control-plane output; forwarding/traffic proof; fault + root cause; pre/post/rollback</x:v>
      </x:c>
      <x:c r="P130" s="16" t="str"/>
      <x:c r="Q130" s="16" t="str">
        <x:v>Phase 12</x:v>
      </x:c>
    </x:row>
    <x:row r="131" ht="120" hidden="0" customHeight="1">
      <x:c r="A131" s="16" t="str">
        <x:v>LAB-127</x:v>
      </x:c>
      <x:c r="B131" s="16" t="n">
        <x:v>12</x:v>
      </x:c>
      <x:c r="C131" s="16" t="str">
        <x:v>Security &amp; Infrastructure Protection</x:v>
      </x:c>
      <x:c r="D131" s="16" t="str">
        <x:v>RTBH and FlowSpec fundamentals</x:v>
      </x:c>
      <x:c r="E131" s="16" t="str">
        <x:v>Configure, explain, verify, break, and restore rtbh and flowspec fundamentals on IOS XR.</x:v>
      </x:c>
      <x:c r="F131" s="16" t="str">
        <x:v>4–6 XR nodes</x:v>
      </x:c>
      <x:c r="G131" s="16" t="n">
        <x:v>4</x:v>
      </x:c>
      <x:c r="H131" s="16" t="str">
        <x:v>Advanced</x:v>
      </x:c>
      <x:c r="I131" s="16" t="str">
        <x:v>Recommended</x:v>
      </x:c>
      <x:c r="J131" s="16" t="str">
        <x:v>LAB-126</x:v>
      </x:c>
      <x:c r="K131" s="16" t="str">
        <x:v>Not Started</x:v>
      </x:c>
      <x:c r="L131" s="16" t="n">
        <x:v>0</x:v>
      </x:c>
      <x:c r="M131" s="16" t="str"/>
      <x:c r="N131" s="33" t="str"/>
      <x:c r="O131" s="16" t="str">
        <x:v>Configs; control-plane output; forwarding/traffic proof; fault + root cause; pre/post/rollback</x:v>
      </x:c>
      <x:c r="P131" s="16" t="str"/>
      <x:c r="Q131" s="16" t="str">
        <x:v>Phase 12</x:v>
      </x:c>
    </x:row>
    <x:row r="132" ht="120" hidden="0" customHeight="1">
      <x:c r="A132" s="16" t="str">
        <x:v>LAB-128</x:v>
      </x:c>
      <x:c r="B132" s="16" t="n">
        <x:v>12</x:v>
      </x:c>
      <x:c r="C132" s="16" t="str">
        <x:v>Security &amp; Infrastructure Protection</x:v>
      </x:c>
      <x:c r="D132" s="16" t="str">
        <x:v>MPLS VPN route-leak security checks</x:v>
      </x:c>
      <x:c r="E132" s="16" t="str">
        <x:v>Configure, explain, verify, break, and restore mpls vpn route-leak security checks on IOS XR.</x:v>
      </x:c>
      <x:c r="F132" s="16" t="str">
        <x:v>4–6 XR nodes</x:v>
      </x:c>
      <x:c r="G132" s="16" t="n">
        <x:v>4</x:v>
      </x:c>
      <x:c r="H132" s="16" t="str">
        <x:v>Advanced</x:v>
      </x:c>
      <x:c r="I132" s="16" t="str">
        <x:v>Core</x:v>
      </x:c>
      <x:c r="J132" s="16" t="str">
        <x:v>LAB-127</x:v>
      </x:c>
      <x:c r="K132" s="16" t="str">
        <x:v>Not Started</x:v>
      </x:c>
      <x:c r="L132" s="16" t="n">
        <x:v>0</x:v>
      </x:c>
      <x:c r="M132" s="16" t="str"/>
      <x:c r="N132" s="33" t="str"/>
      <x:c r="O132" s="16" t="str">
        <x:v>Configs; control-plane output; forwarding/traffic proof; fault + root cause; pre/post/rollback</x:v>
      </x:c>
      <x:c r="P132" s="16" t="str"/>
      <x:c r="Q132" s="16" t="str">
        <x:v>Phase 12</x:v>
      </x:c>
    </x:row>
    <x:row r="133" ht="132" hidden="0" customHeight="1">
      <x:c r="A133" s="16" t="str">
        <x:v>LAB-129</x:v>
      </x:c>
      <x:c r="B133" s="16" t="n">
        <x:v>12</x:v>
      </x:c>
      <x:c r="C133" s="16" t="str">
        <x:v>Security &amp; Infrastructure Protection</x:v>
      </x:c>
      <x:c r="D133" s="16" t="str">
        <x:v>Secure management with AAA roles and logging</x:v>
      </x:c>
      <x:c r="E133" s="16" t="str">
        <x:v>Configure, explain, verify, break, and restore secure management with aaa roles and logging on IOS XR.</x:v>
      </x:c>
      <x:c r="F133" s="16" t="str">
        <x:v>4–6 XR nodes</x:v>
      </x:c>
      <x:c r="G133" s="16" t="n">
        <x:v>6</x:v>
      </x:c>
      <x:c r="H133" s="16" t="str">
        <x:v>Expert</x:v>
      </x:c>
      <x:c r="I133" s="16" t="str">
        <x:v>Recommended</x:v>
      </x:c>
      <x:c r="J133" s="16" t="str">
        <x:v>LAB-128</x:v>
      </x:c>
      <x:c r="K133" s="16" t="str">
        <x:v>Not Started</x:v>
      </x:c>
      <x:c r="L133" s="16" t="n">
        <x:v>0</x:v>
      </x:c>
      <x:c r="M133" s="16" t="str"/>
      <x:c r="N133" s="33" t="str"/>
      <x:c r="O133" s="16" t="str">
        <x:v>Configs; control-plane output; forwarding/traffic proof; fault + root cause; pre/post/rollback</x:v>
      </x:c>
      <x:c r="P133" s="16" t="str"/>
      <x:c r="Q133" s="16" t="str">
        <x:v>Phase 12</x:v>
      </x:c>
    </x:row>
    <x:row r="134" ht="108" hidden="0" customHeight="1">
      <x:c r="A134" s="16" t="str">
        <x:v>LAB-130</x:v>
      </x:c>
      <x:c r="B134" s="16" t="n">
        <x:v>13</x:v>
      </x:c>
      <x:c r="C134" s="16" t="str">
        <x:v>Operations, Assurance &amp; Telemetry</x:v>
      </x:c>
      <x:c r="D134" s="16" t="str">
        <x:v>MPLS LSP ping and traceroute</x:v>
      </x:c>
      <x:c r="E134" s="16" t="str">
        <x:v>Configure, explain, verify, break, and restore mpls lsp ping and traceroute on IOS XR.</x:v>
      </x:c>
      <x:c r="F134" s="16" t="str">
        <x:v>4–6 XR nodes</x:v>
      </x:c>
      <x:c r="G134" s="16" t="n">
        <x:v>4</x:v>
      </x:c>
      <x:c r="H134" s="16" t="str">
        <x:v>Advanced</x:v>
      </x:c>
      <x:c r="I134" s="16" t="str">
        <x:v>Core</x:v>
      </x:c>
      <x:c r="J134" s="16" t="str"/>
      <x:c r="K134" s="16" t="str">
        <x:v>Not Started</x:v>
      </x:c>
      <x:c r="L134" s="16" t="n">
        <x:v>0</x:v>
      </x:c>
      <x:c r="M134" s="16" t="str"/>
      <x:c r="N134" s="33" t="str"/>
      <x:c r="O134" s="16" t="str">
        <x:v>Configs; control-plane output; forwarding/traffic proof; fault + root cause; pre/post/rollback</x:v>
      </x:c>
      <x:c r="P134" s="16" t="str"/>
      <x:c r="Q134" s="16" t="str">
        <x:v>Phase 13</x:v>
      </x:c>
    </x:row>
    <x:row r="135" ht="108" hidden="0" customHeight="1">
      <x:c r="A135" s="16" t="str">
        <x:v>LAB-131</x:v>
      </x:c>
      <x:c r="B135" s="16" t="n">
        <x:v>13</x:v>
      </x:c>
      <x:c r="C135" s="16" t="str">
        <x:v>Operations, Assurance &amp; Telemetry</x:v>
      </x:c>
      <x:c r="D135" s="16" t="str">
        <x:v>L2VPN and EVPN service OAM</x:v>
      </x:c>
      <x:c r="E135" s="16" t="str">
        <x:v>Configure, explain, verify, break, and restore l2vpn and evpn service oam on IOS XR.</x:v>
      </x:c>
      <x:c r="F135" s="16" t="str">
        <x:v>4–6 XR nodes</x:v>
      </x:c>
      <x:c r="G135" s="16" t="n">
        <x:v>4</x:v>
      </x:c>
      <x:c r="H135" s="16" t="str">
        <x:v>Advanced</x:v>
      </x:c>
      <x:c r="I135" s="16" t="str">
        <x:v>Core</x:v>
      </x:c>
      <x:c r="J135" s="16" t="str">
        <x:v>LAB-130</x:v>
      </x:c>
      <x:c r="K135" s="16" t="str">
        <x:v>Not Started</x:v>
      </x:c>
      <x:c r="L135" s="16" t="n">
        <x:v>0</x:v>
      </x:c>
      <x:c r="M135" s="16" t="str"/>
      <x:c r="N135" s="33" t="str"/>
      <x:c r="O135" s="16" t="str">
        <x:v>Configs; control-plane output; forwarding/traffic proof; fault + root cause; pre/post/rollback</x:v>
      </x:c>
      <x:c r="P135" s="16" t="str"/>
      <x:c r="Q135" s="16" t="str">
        <x:v>Phase 13</x:v>
      </x:c>
    </x:row>
    <x:row r="136" ht="132" hidden="0" customHeight="1">
      <x:c r="A136" s="16" t="str">
        <x:v>LAB-132</x:v>
      </x:c>
      <x:c r="B136" s="16" t="n">
        <x:v>13</x:v>
      </x:c>
      <x:c r="C136" s="16" t="str">
        <x:v>Operations, Assurance &amp; Telemetry</x:v>
      </x:c>
      <x:c r="D136" s="16" t="str">
        <x:v>IP SLA/TWAMP performance measurement</x:v>
      </x:c>
      <x:c r="E136" s="16" t="str">
        <x:v>Configure, explain, verify, break, and restore ip sla/twamp performance measurement on IOS XR.</x:v>
      </x:c>
      <x:c r="F136" s="16" t="str">
        <x:v>4–6 XR nodes</x:v>
      </x:c>
      <x:c r="G136" s="16" t="n">
        <x:v>4</x:v>
      </x:c>
      <x:c r="H136" s="16" t="str">
        <x:v>Advanced</x:v>
      </x:c>
      <x:c r="I136" s="16" t="str">
        <x:v>Core</x:v>
      </x:c>
      <x:c r="J136" s="16" t="str">
        <x:v>LAB-131</x:v>
      </x:c>
      <x:c r="K136" s="16" t="str">
        <x:v>Not Started</x:v>
      </x:c>
      <x:c r="L136" s="16" t="n">
        <x:v>0</x:v>
      </x:c>
      <x:c r="M136" s="16" t="str"/>
      <x:c r="N136" s="33" t="str"/>
      <x:c r="O136" s="16" t="str">
        <x:v>Configs; control-plane output; forwarding/traffic proof; fault + root cause; pre/post/rollback</x:v>
      </x:c>
      <x:c r="P136" s="16" t="str"/>
      <x:c r="Q136" s="16" t="str">
        <x:v>Phase 13</x:v>
      </x:c>
    </x:row>
    <x:row r="137" ht="120" hidden="0" customHeight="1">
      <x:c r="A137" s="16" t="str">
        <x:v>LAB-133</x:v>
      </x:c>
      <x:c r="B137" s="16" t="n">
        <x:v>13</x:v>
      </x:c>
      <x:c r="C137" s="16" t="str">
        <x:v>Operations, Assurance &amp; Telemetry</x:v>
      </x:c>
      <x:c r="D137" s="16" t="str">
        <x:v>Syslog, SNMP and event correlation</x:v>
      </x:c>
      <x:c r="E137" s="16" t="str">
        <x:v>Configure, explain, verify, break, and restore syslog, snmp and event correlation on IOS XR.</x:v>
      </x:c>
      <x:c r="F137" s="16" t="str">
        <x:v>4–6 XR nodes</x:v>
      </x:c>
      <x:c r="G137" s="16" t="n">
        <x:v>6</x:v>
      </x:c>
      <x:c r="H137" s="16" t="str">
        <x:v>Expert</x:v>
      </x:c>
      <x:c r="I137" s="16" t="str">
        <x:v>Core</x:v>
      </x:c>
      <x:c r="J137" s="16" t="str">
        <x:v>LAB-132</x:v>
      </x:c>
      <x:c r="K137" s="16" t="str">
        <x:v>Not Started</x:v>
      </x:c>
      <x:c r="L137" s="16" t="n">
        <x:v>0</x:v>
      </x:c>
      <x:c r="M137" s="16" t="str"/>
      <x:c r="N137" s="33" t="str"/>
      <x:c r="O137" s="16" t="str">
        <x:v>Configs; control-plane output; forwarding/traffic proof; fault + root cause; pre/post/rollback</x:v>
      </x:c>
      <x:c r="P137" s="16" t="str"/>
      <x:c r="Q137" s="16" t="str">
        <x:v>Phase 13</x:v>
      </x:c>
    </x:row>
    <x:row r="138" ht="108" hidden="0" customHeight="1">
      <x:c r="A138" s="16" t="str">
        <x:v>LAB-134</x:v>
      </x:c>
      <x:c r="B138" s="16" t="n">
        <x:v>13</x:v>
      </x:c>
      <x:c r="C138" s="16" t="str">
        <x:v>Operations, Assurance &amp; Telemetry</x:v>
      </x:c>
      <x:c r="D138" s="16" t="str">
        <x:v>Model-driven telemetry subscription</x:v>
      </x:c>
      <x:c r="E138" s="16" t="str">
        <x:v>Configure, explain, verify, break, and restore model-driven telemetry subscription on IOS XR.</x:v>
      </x:c>
      <x:c r="F138" s="16" t="str">
        <x:v>4–6 XR nodes</x:v>
      </x:c>
      <x:c r="G138" s="16" t="n">
        <x:v>4</x:v>
      </x:c>
      <x:c r="H138" s="16" t="str">
        <x:v>Advanced</x:v>
      </x:c>
      <x:c r="I138" s="16" t="str">
        <x:v>Core</x:v>
      </x:c>
      <x:c r="J138" s="16" t="str">
        <x:v>LAB-133</x:v>
      </x:c>
      <x:c r="K138" s="16" t="str">
        <x:v>Not Started</x:v>
      </x:c>
      <x:c r="L138" s="16" t="n">
        <x:v>0</x:v>
      </x:c>
      <x:c r="M138" s="16" t="str"/>
      <x:c r="N138" s="33" t="str"/>
      <x:c r="O138" s="16" t="str">
        <x:v>Configs; control-plane output; forwarding/traffic proof; fault + root cause; pre/post/rollback</x:v>
      </x:c>
      <x:c r="P138" s="16" t="str"/>
      <x:c r="Q138" s="16" t="str">
        <x:v>Phase 13</x:v>
      </x:c>
    </x:row>
    <x:row r="139" ht="108" hidden="0" customHeight="1">
      <x:c r="A139" s="16" t="str">
        <x:v>LAB-135</x:v>
      </x:c>
      <x:c r="B139" s="16" t="n">
        <x:v>13</x:v>
      </x:c>
      <x:c r="C139" s="16" t="str">
        <x:v>Operations, Assurance &amp; Telemetry</x:v>
      </x:c>
      <x:c r="D139" s="16" t="str">
        <x:v>NetFlow/IPFIX traffic visibility</x:v>
      </x:c>
      <x:c r="E139" s="16" t="str">
        <x:v>Configure, explain, verify, break, and restore netflow/ipfix traffic visibility on IOS XR.</x:v>
      </x:c>
      <x:c r="F139" s="16" t="str">
        <x:v>4–6 XR nodes</x:v>
      </x:c>
      <x:c r="G139" s="16" t="n">
        <x:v>4</x:v>
      </x:c>
      <x:c r="H139" s="16" t="str">
        <x:v>Advanced</x:v>
      </x:c>
      <x:c r="I139" s="16" t="str">
        <x:v>Core</x:v>
      </x:c>
      <x:c r="J139" s="16" t="str">
        <x:v>LAB-134</x:v>
      </x:c>
      <x:c r="K139" s="16" t="str">
        <x:v>Not Started</x:v>
      </x:c>
      <x:c r="L139" s="16" t="n">
        <x:v>0</x:v>
      </x:c>
      <x:c r="M139" s="16" t="str"/>
      <x:c r="N139" s="33" t="str"/>
      <x:c r="O139" s="16" t="str">
        <x:v>Configs; control-plane output; forwarding/traffic proof; fault + root cause; pre/post/rollback</x:v>
      </x:c>
      <x:c r="P139" s="16" t="str"/>
      <x:c r="Q139" s="16" t="str">
        <x:v>Phase 13</x:v>
      </x:c>
    </x:row>
    <x:row r="140" ht="132" hidden="0" customHeight="1">
      <x:c r="A140" s="16" t="str">
        <x:v>LAB-136</x:v>
      </x:c>
      <x:c r="B140" s="16" t="n">
        <x:v>13</x:v>
      </x:c>
      <x:c r="C140" s="16" t="str">
        <x:v>Operations, Assurance &amp; Telemetry</x:v>
      </x:c>
      <x:c r="D140" s="16" t="str">
        <x:v>Packet capture and label-stack interpretation</x:v>
      </x:c>
      <x:c r="E140" s="16" t="str">
        <x:v>Configure, explain, verify, break, and restore packet capture and label-stack interpretation on IOS XR.</x:v>
      </x:c>
      <x:c r="F140" s="16" t="str">
        <x:v>4–6 XR nodes</x:v>
      </x:c>
      <x:c r="G140" s="16" t="n">
        <x:v>4</x:v>
      </x:c>
      <x:c r="H140" s="16" t="str">
        <x:v>Advanced</x:v>
      </x:c>
      <x:c r="I140" s="16" t="str">
        <x:v>Core</x:v>
      </x:c>
      <x:c r="J140" s="16" t="str">
        <x:v>LAB-135</x:v>
      </x:c>
      <x:c r="K140" s="16" t="str">
        <x:v>Not Started</x:v>
      </x:c>
      <x:c r="L140" s="16" t="n">
        <x:v>0</x:v>
      </x:c>
      <x:c r="M140" s="16" t="str"/>
      <x:c r="N140" s="33" t="str"/>
      <x:c r="O140" s="16" t="str">
        <x:v>Configs; control-plane output; forwarding/traffic proof; fault + root cause; pre/post/rollback</x:v>
      </x:c>
      <x:c r="P140" s="16" t="str"/>
      <x:c r="Q140" s="16" t="str">
        <x:v>Phase 13</x:v>
      </x:c>
    </x:row>
    <x:row r="141" ht="132" hidden="0" customHeight="1">
      <x:c r="A141" s="16" t="str">
        <x:v>LAB-137</x:v>
      </x:c>
      <x:c r="B141" s="16" t="n">
        <x:v>13</x:v>
      </x:c>
      <x:c r="C141" s="16" t="str">
        <x:v>Operations, Assurance &amp; Telemetry</x:v>
      </x:c>
      <x:c r="D141" s="16" t="str">
        <x:v>Golden-signal baseline and deviation detection</x:v>
      </x:c>
      <x:c r="E141" s="16" t="str">
        <x:v>Configure, explain, verify, break, and restore golden-signal baseline and deviation detection on IOS XR.</x:v>
      </x:c>
      <x:c r="F141" s="16" t="str">
        <x:v>4–6 XR nodes</x:v>
      </x:c>
      <x:c r="G141" s="16" t="n">
        <x:v>6</x:v>
      </x:c>
      <x:c r="H141" s="16" t="str">
        <x:v>Expert</x:v>
      </x:c>
      <x:c r="I141" s="16" t="str">
        <x:v>Core</x:v>
      </x:c>
      <x:c r="J141" s="16" t="str">
        <x:v>LAB-136</x:v>
      </x:c>
      <x:c r="K141" s="16" t="str">
        <x:v>Not Started</x:v>
      </x:c>
      <x:c r="L141" s="16" t="n">
        <x:v>0</x:v>
      </x:c>
      <x:c r="M141" s="16" t="str"/>
      <x:c r="N141" s="33" t="str"/>
      <x:c r="O141" s="16" t="str">
        <x:v>Configs; control-plane output; forwarding/traffic proof; fault + root cause; pre/post/rollback</x:v>
      </x:c>
      <x:c r="P141" s="16" t="str"/>
      <x:c r="Q141" s="16" t="str">
        <x:v>Phase 13</x:v>
      </x:c>
    </x:row>
    <x:row r="142" ht="120" hidden="0" customHeight="1">
      <x:c r="A142" s="16" t="str">
        <x:v>LAB-138</x:v>
      </x:c>
      <x:c r="B142" s="16" t="n">
        <x:v>13</x:v>
      </x:c>
      <x:c r="C142" s="16" t="str">
        <x:v>Operations, Assurance &amp; Telemetry</x:v>
      </x:c>
      <x:c r="D142" s="16" t="str">
        <x:v>Structured multi-layer fault isolation</x:v>
      </x:c>
      <x:c r="E142" s="16" t="str">
        <x:v>Configure, explain, verify, break, and restore structured multi-layer fault isolation on IOS XR.</x:v>
      </x:c>
      <x:c r="F142" s="16" t="str">
        <x:v>4–6 XR nodes</x:v>
      </x:c>
      <x:c r="G142" s="16" t="n">
        <x:v>4</x:v>
      </x:c>
      <x:c r="H142" s="16" t="str">
        <x:v>Advanced</x:v>
      </x:c>
      <x:c r="I142" s="16" t="str">
        <x:v>Core</x:v>
      </x:c>
      <x:c r="J142" s="16" t="str">
        <x:v>LAB-137</x:v>
      </x:c>
      <x:c r="K142" s="16" t="str">
        <x:v>Not Started</x:v>
      </x:c>
      <x:c r="L142" s="16" t="n">
        <x:v>0</x:v>
      </x:c>
      <x:c r="M142" s="16" t="str"/>
      <x:c r="N142" s="33" t="str"/>
      <x:c r="O142" s="16" t="str">
        <x:v>Configs; control-plane output; forwarding/traffic proof; fault + root cause; pre/post/rollback</x:v>
      </x:c>
      <x:c r="P142" s="16" t="str"/>
      <x:c r="Q142" s="16" t="str">
        <x:v>Phase 13</x:v>
      </x:c>
    </x:row>
    <x:row r="143" ht="132" hidden="0" customHeight="1">
      <x:c r="A143" s="16" t="str">
        <x:v>LAB-139</x:v>
      </x:c>
      <x:c r="B143" s="16" t="n">
        <x:v>13</x:v>
      </x:c>
      <x:c r="C143" s="16" t="str">
        <x:v>Operations, Assurance &amp; Telemetry</x:v>
      </x:c>
      <x:c r="D143" s="16" t="str">
        <x:v>Maintenance-window precheck/postcheck package</x:v>
      </x:c>
      <x:c r="E143" s="16" t="str">
        <x:v>Configure, explain, verify, break, and restore maintenance-window precheck/postcheck package on IOS XR.</x:v>
      </x:c>
      <x:c r="F143" s="16" t="str">
        <x:v>4–6 XR nodes</x:v>
      </x:c>
      <x:c r="G143" s="16" t="n">
        <x:v>4</x:v>
      </x:c>
      <x:c r="H143" s="16" t="str">
        <x:v>Advanced</x:v>
      </x:c>
      <x:c r="I143" s="16" t="str">
        <x:v>Core</x:v>
      </x:c>
      <x:c r="J143" s="16" t="str">
        <x:v>LAB-138</x:v>
      </x:c>
      <x:c r="K143" s="16" t="str">
        <x:v>Not Started</x:v>
      </x:c>
      <x:c r="L143" s="16" t="n">
        <x:v>0</x:v>
      </x:c>
      <x:c r="M143" s="16" t="str"/>
      <x:c r="N143" s="33" t="str"/>
      <x:c r="O143" s="16" t="str">
        <x:v>Configs; control-plane output; forwarding/traffic proof; fault + root cause; pre/post/rollback</x:v>
      </x:c>
      <x:c r="P143" s="16" t="str"/>
      <x:c r="Q143" s="16" t="str">
        <x:v>Phase 13</x:v>
      </x:c>
    </x:row>
    <x:row r="144" ht="108" hidden="0" customHeight="1">
      <x:c r="A144" s="16" t="str">
        <x:v>LAB-140</x:v>
      </x:c>
      <x:c r="B144" s="16" t="n">
        <x:v>14</x:v>
      </x:c>
      <x:c r="C144" s="16" t="str">
        <x:v>Automation &amp; Programmability</x:v>
      </x:c>
      <x:c r="D144" s="16" t="str">
        <x:v>NETCONF and YANG model exploration</x:v>
      </x:c>
      <x:c r="E144" s="16" t="str">
        <x:v>Configure, explain, verify, break, and restore netconf and yang model exploration on IOS XR.</x:v>
      </x:c>
      <x:c r="F144" s="16" t="str">
        <x:v>4–6 XR nodes</x:v>
      </x:c>
      <x:c r="G144" s="16" t="n">
        <x:v>4</x:v>
      </x:c>
      <x:c r="H144" s="16" t="str">
        <x:v>Advanced</x:v>
      </x:c>
      <x:c r="I144" s="16" t="str">
        <x:v>Core</x:v>
      </x:c>
      <x:c r="J144" s="16" t="str"/>
      <x:c r="K144" s="16" t="str">
        <x:v>Not Started</x:v>
      </x:c>
      <x:c r="L144" s="16" t="n">
        <x:v>0</x:v>
      </x:c>
      <x:c r="M144" s="16" t="str"/>
      <x:c r="N144" s="33" t="str"/>
      <x:c r="O144" s="16" t="str">
        <x:v>Configs; control-plane output; forwarding/traffic proof; fault + root cause; pre/post/rollback</x:v>
      </x:c>
      <x:c r="P144" s="16" t="str"/>
      <x:c r="Q144" s="16" t="str">
        <x:v>Phase 14</x:v>
      </x:c>
    </x:row>
    <x:row r="145" ht="108" hidden="0" customHeight="1">
      <x:c r="A145" s="16" t="str">
        <x:v>LAB-141</x:v>
      </x:c>
      <x:c r="B145" s="16" t="n">
        <x:v>14</x:v>
      </x:c>
      <x:c r="C145" s="16" t="str">
        <x:v>Automation &amp; Programmability</x:v>
      </x:c>
      <x:c r="D145" s="16" t="str">
        <x:v>RESTCONF API operations</x:v>
      </x:c>
      <x:c r="E145" s="16" t="str">
        <x:v>Configure, explain, verify, break, and restore restconf api operations on IOS XR.</x:v>
      </x:c>
      <x:c r="F145" s="16" t="str">
        <x:v>4–6 XR nodes</x:v>
      </x:c>
      <x:c r="G145" s="16" t="n">
        <x:v>4</x:v>
      </x:c>
      <x:c r="H145" s="16" t="str">
        <x:v>Advanced</x:v>
      </x:c>
      <x:c r="I145" s="16" t="str">
        <x:v>Recommended</x:v>
      </x:c>
      <x:c r="J145" s="16" t="str">
        <x:v>LAB-140</x:v>
      </x:c>
      <x:c r="K145" s="16" t="str">
        <x:v>Not Started</x:v>
      </x:c>
      <x:c r="L145" s="16" t="n">
        <x:v>0</x:v>
      </x:c>
      <x:c r="M145" s="16" t="str"/>
      <x:c r="N145" s="33" t="str"/>
      <x:c r="O145" s="16" t="str">
        <x:v>Configs; control-plane output; forwarding/traffic proof; fault + root cause; pre/post/rollback</x:v>
      </x:c>
      <x:c r="P145" s="16" t="str"/>
      <x:c r="Q145" s="16" t="str">
        <x:v>Phase 14</x:v>
      </x:c>
    </x:row>
    <x:row r="146" ht="108" hidden="0" customHeight="1">
      <x:c r="A146" s="16" t="str">
        <x:v>LAB-142</x:v>
      </x:c>
      <x:c r="B146" s="16" t="n">
        <x:v>14</x:v>
      </x:c>
      <x:c r="C146" s="16" t="str">
        <x:v>Automation &amp; Programmability</x:v>
      </x:c>
      <x:c r="D146" s="16" t="str">
        <x:v>gNMI/gRPC telemetry workflow</x:v>
      </x:c>
      <x:c r="E146" s="16" t="str">
        <x:v>Configure, explain, verify, break, and restore gnmi/grpc telemetry workflow on IOS XR.</x:v>
      </x:c>
      <x:c r="F146" s="16" t="str">
        <x:v>4–6 XR nodes</x:v>
      </x:c>
      <x:c r="G146" s="16" t="n">
        <x:v>4</x:v>
      </x:c>
      <x:c r="H146" s="16" t="str">
        <x:v>Advanced</x:v>
      </x:c>
      <x:c r="I146" s="16" t="str">
        <x:v>Recommended</x:v>
      </x:c>
      <x:c r="J146" s="16" t="str">
        <x:v>LAB-141</x:v>
      </x:c>
      <x:c r="K146" s="16" t="str">
        <x:v>Not Started</x:v>
      </x:c>
      <x:c r="L146" s="16" t="n">
        <x:v>0</x:v>
      </x:c>
      <x:c r="M146" s="16" t="str"/>
      <x:c r="N146" s="33" t="str"/>
      <x:c r="O146" s="16" t="str">
        <x:v>Configs; control-plane output; forwarding/traffic proof; fault + root cause; pre/post/rollback</x:v>
      </x:c>
      <x:c r="P146" s="16" t="str"/>
      <x:c r="Q146" s="16" t="str">
        <x:v>Phase 14</x:v>
      </x:c>
    </x:row>
    <x:row r="147" ht="144" hidden="0" customHeight="1">
      <x:c r="A147" s="16" t="str">
        <x:v>LAB-143</x:v>
      </x:c>
      <x:c r="B147" s="16" t="n">
        <x:v>14</x:v>
      </x:c>
      <x:c r="C147" s="16" t="str">
        <x:v>Automation &amp; Programmability</x:v>
      </x:c>
      <x:c r="D147" s="16" t="str">
        <x:v>Python inventory and show-command collection</x:v>
      </x:c>
      <x:c r="E147" s="16" t="str">
        <x:v>Configure, explain, verify, break, and restore python inventory and show-command collection on IOS XR.</x:v>
      </x:c>
      <x:c r="F147" s="16" t="str">
        <x:v>4–6 XR nodes</x:v>
      </x:c>
      <x:c r="G147" s="16" t="n">
        <x:v>6</x:v>
      </x:c>
      <x:c r="H147" s="16" t="str">
        <x:v>Expert</x:v>
      </x:c>
      <x:c r="I147" s="16" t="str">
        <x:v>Core</x:v>
      </x:c>
      <x:c r="J147" s="16" t="str">
        <x:v>LAB-142</x:v>
      </x:c>
      <x:c r="K147" s="16" t="str">
        <x:v>Not Started</x:v>
      </x:c>
      <x:c r="L147" s="16" t="n">
        <x:v>0</x:v>
      </x:c>
      <x:c r="M147" s="16" t="str"/>
      <x:c r="N147" s="33" t="str"/>
      <x:c r="O147" s="16" t="str">
        <x:v>Configs; control-plane output; forwarding/traffic proof; fault + root cause; pre/post/rollback</x:v>
      </x:c>
      <x:c r="P147" s="16" t="str"/>
      <x:c r="Q147" s="16" t="str">
        <x:v>Phase 14</x:v>
      </x:c>
    </x:row>
    <x:row r="148" ht="120" hidden="0" customHeight="1">
      <x:c r="A148" s="16" t="str">
        <x:v>LAB-144</x:v>
      </x:c>
      <x:c r="B148" s="16" t="n">
        <x:v>14</x:v>
      </x:c>
      <x:c r="C148" s="16" t="str">
        <x:v>Automation &amp; Programmability</x:v>
      </x:c>
      <x:c r="D148" s="16" t="str">
        <x:v>Jinja2 configuration generation</x:v>
      </x:c>
      <x:c r="E148" s="16" t="str">
        <x:v>Configure, explain, verify, break, and restore jinja2 configuration generation on IOS XR.</x:v>
      </x:c>
      <x:c r="F148" s="16" t="str">
        <x:v>4–6 XR nodes</x:v>
      </x:c>
      <x:c r="G148" s="16" t="n">
        <x:v>4</x:v>
      </x:c>
      <x:c r="H148" s="16" t="str">
        <x:v>Advanced</x:v>
      </x:c>
      <x:c r="I148" s="16" t="str">
        <x:v>Recommended</x:v>
      </x:c>
      <x:c r="J148" s="16" t="str">
        <x:v>LAB-143</x:v>
      </x:c>
      <x:c r="K148" s="16" t="str">
        <x:v>Not Started</x:v>
      </x:c>
      <x:c r="L148" s="16" t="n">
        <x:v>0</x:v>
      </x:c>
      <x:c r="M148" s="16" t="str"/>
      <x:c r="N148" s="33" t="str"/>
      <x:c r="O148" s="16" t="str">
        <x:v>Configs; control-plane output; forwarding/traffic proof; fault + root cause; pre/post/rollback</x:v>
      </x:c>
      <x:c r="P148" s="16" t="str"/>
      <x:c r="Q148" s="16" t="str">
        <x:v>Phase 14</x:v>
      </x:c>
    </x:row>
    <x:row r="149" ht="120" hidden="0" customHeight="1">
      <x:c r="A149" s="16" t="str">
        <x:v>LAB-145</x:v>
      </x:c>
      <x:c r="B149" s="16" t="n">
        <x:v>14</x:v>
      </x:c>
      <x:c r="C149" s="16" t="str">
        <x:v>Automation &amp; Programmability</x:v>
      </x:c>
      <x:c r="D149" s="16" t="str">
        <x:v>Ansible idempotent IOS XR deployment</x:v>
      </x:c>
      <x:c r="E149" s="16" t="str">
        <x:v>Configure, explain, verify, break, and restore ansible idempotent ios xr deployment on IOS XR.</x:v>
      </x:c>
      <x:c r="F149" s="16" t="str">
        <x:v>4–6 XR nodes</x:v>
      </x:c>
      <x:c r="G149" s="16" t="n">
        <x:v>4</x:v>
      </x:c>
      <x:c r="H149" s="16" t="str">
        <x:v>Advanced</x:v>
      </x:c>
      <x:c r="I149" s="16" t="str">
        <x:v>Recommended</x:v>
      </x:c>
      <x:c r="J149" s="16" t="str">
        <x:v>LAB-144</x:v>
      </x:c>
      <x:c r="K149" s="16" t="str">
        <x:v>Not Started</x:v>
      </x:c>
      <x:c r="L149" s="16" t="n">
        <x:v>0</x:v>
      </x:c>
      <x:c r="M149" s="16" t="str"/>
      <x:c r="N149" s="33" t="str"/>
      <x:c r="O149" s="16" t="str">
        <x:v>Configs; control-plane output; forwarding/traffic proof; fault + root cause; pre/post/rollback</x:v>
      </x:c>
      <x:c r="P149" s="16" t="str"/>
      <x:c r="Q149" s="16" t="str">
        <x:v>Phase 14</x:v>
      </x:c>
    </x:row>
    <x:row r="150" ht="120" hidden="0" customHeight="1">
      <x:c r="A150" s="16" t="str">
        <x:v>LAB-146</x:v>
      </x:c>
      <x:c r="B150" s="16" t="n">
        <x:v>14</x:v>
      </x:c>
      <x:c r="C150" s="16" t="str">
        <x:v>Automation &amp; Programmability</x:v>
      </x:c>
      <x:c r="D150" s="16" t="str">
        <x:v>Precheck/postcheck automated validation</x:v>
      </x:c>
      <x:c r="E150" s="16" t="str">
        <x:v>Configure, explain, verify, break, and restore precheck/postcheck automated validation on IOS XR.</x:v>
      </x:c>
      <x:c r="F150" s="16" t="str">
        <x:v>4–6 XR nodes</x:v>
      </x:c>
      <x:c r="G150" s="16" t="n">
        <x:v>4</x:v>
      </x:c>
      <x:c r="H150" s="16" t="str">
        <x:v>Advanced</x:v>
      </x:c>
      <x:c r="I150" s="16" t="str">
        <x:v>Core</x:v>
      </x:c>
      <x:c r="J150" s="16" t="str">
        <x:v>LAB-145</x:v>
      </x:c>
      <x:c r="K150" s="16" t="str">
        <x:v>Not Started</x:v>
      </x:c>
      <x:c r="L150" s="16" t="n">
        <x:v>0</x:v>
      </x:c>
      <x:c r="M150" s="16" t="str"/>
      <x:c r="N150" s="33" t="str"/>
      <x:c r="O150" s="16" t="str">
        <x:v>Configs; control-plane output; forwarding/traffic proof; fault + root cause; pre/post/rollback</x:v>
      </x:c>
      <x:c r="P150" s="16" t="str"/>
      <x:c r="Q150" s="16" t="str">
        <x:v>Phase 14</x:v>
      </x:c>
    </x:row>
    <x:row r="151" ht="120" hidden="0" customHeight="1">
      <x:c r="A151" s="16" t="str">
        <x:v>LAB-147</x:v>
      </x:c>
      <x:c r="B151" s="16" t="n">
        <x:v>14</x:v>
      </x:c>
      <x:c r="C151" s="16" t="str">
        <x:v>Automation &amp; Programmability</x:v>
      </x:c>
      <x:c r="D151" s="16" t="str">
        <x:v>Configuration diff and rollback automation</x:v>
      </x:c>
      <x:c r="E151" s="16" t="str">
        <x:v>Configure, explain, verify, break, and restore configuration diff and rollback automation on IOS XR.</x:v>
      </x:c>
      <x:c r="F151" s="16" t="str">
        <x:v>4–6 XR nodes</x:v>
      </x:c>
      <x:c r="G151" s="16" t="n">
        <x:v>6</x:v>
      </x:c>
      <x:c r="H151" s="16" t="str">
        <x:v>Expert</x:v>
      </x:c>
      <x:c r="I151" s="16" t="str">
        <x:v>Recommended</x:v>
      </x:c>
      <x:c r="J151" s="16" t="str">
        <x:v>LAB-146</x:v>
      </x:c>
      <x:c r="K151" s="16" t="str">
        <x:v>Not Started</x:v>
      </x:c>
      <x:c r="L151" s="16" t="n">
        <x:v>0</x:v>
      </x:c>
      <x:c r="M151" s="16" t="str"/>
      <x:c r="N151" s="33" t="str"/>
      <x:c r="O151" s="16" t="str">
        <x:v>Configs; control-plane output; forwarding/traffic proof; fault + root cause; pre/post/rollback</x:v>
      </x:c>
      <x:c r="P151" s="16" t="str"/>
      <x:c r="Q151" s="16" t="str">
        <x:v>Phase 14</x:v>
      </x:c>
    </x:row>
    <x:row r="152" ht="120" hidden="0" customHeight="1">
      <x:c r="A152" s="16" t="str">
        <x:v>LAB-148</x:v>
      </x:c>
      <x:c r="B152" s="16" t="n">
        <x:v>14</x:v>
      </x:c>
      <x:c r="C152" s="16" t="str">
        <x:v>Automation &amp; Programmability</x:v>
      </x:c>
      <x:c r="D152" s="16" t="str">
        <x:v>Source-of-truth driven service provisioning</x:v>
      </x:c>
      <x:c r="E152" s="16" t="str">
        <x:v>Configure, explain, verify, break, and restore source-of-truth driven service provisioning on IOS XR.</x:v>
      </x:c>
      <x:c r="F152" s="16" t="str">
        <x:v>4–6 XR nodes</x:v>
      </x:c>
      <x:c r="G152" s="16" t="n">
        <x:v>4</x:v>
      </x:c>
      <x:c r="H152" s="16" t="str">
        <x:v>Advanced</x:v>
      </x:c>
      <x:c r="I152" s="16" t="str">
        <x:v>Recommended</x:v>
      </x:c>
      <x:c r="J152" s="16" t="str">
        <x:v>LAB-147</x:v>
      </x:c>
      <x:c r="K152" s="16" t="str">
        <x:v>Not Started</x:v>
      </x:c>
      <x:c r="L152" s="16" t="n">
        <x:v>0</x:v>
      </x:c>
      <x:c r="M152" s="16" t="str"/>
      <x:c r="N152" s="33" t="str"/>
      <x:c r="O152" s="16" t="str">
        <x:v>Configs; control-plane output; forwarding/traffic proof; fault + root cause; pre/post/rollback</x:v>
      </x:c>
      <x:c r="P152" s="16" t="str"/>
      <x:c r="Q152" s="16" t="str">
        <x:v>Phase 14</x:v>
      </x:c>
    </x:row>
    <x:row r="153" ht="120" hidden="0" customHeight="1">
      <x:c r="A153" s="16" t="str">
        <x:v>LAB-149</x:v>
      </x:c>
      <x:c r="B153" s="16" t="n">
        <x:v>14</x:v>
      </x:c>
      <x:c r="C153" s="16" t="str">
        <x:v>Automation &amp; Programmability</x:v>
      </x:c>
      <x:c r="D153" s="16" t="str">
        <x:v>CI pipeline lint, test and staged deployment</x:v>
      </x:c>
      <x:c r="E153" s="16" t="str">
        <x:v>Configure, explain, verify, break, and restore ci pipeline lint, test and staged deployment on IOS XR.</x:v>
      </x:c>
      <x:c r="F153" s="16" t="str">
        <x:v>4–6 XR nodes</x:v>
      </x:c>
      <x:c r="G153" s="16" t="n">
        <x:v>4</x:v>
      </x:c>
      <x:c r="H153" s="16" t="str">
        <x:v>Advanced</x:v>
      </x:c>
      <x:c r="I153" s="16" t="str">
        <x:v>Core</x:v>
      </x:c>
      <x:c r="J153" s="16" t="str">
        <x:v>LAB-148</x:v>
      </x:c>
      <x:c r="K153" s="16" t="str">
        <x:v>Not Started</x:v>
      </x:c>
      <x:c r="L153" s="16" t="n">
        <x:v>0</x:v>
      </x:c>
      <x:c r="M153" s="16" t="str"/>
      <x:c r="N153" s="33" t="str"/>
      <x:c r="O153" s="16" t="str">
        <x:v>Configs; control-plane output; forwarding/traffic proof; fault + root cause; pre/post/rollback</x:v>
      </x:c>
      <x:c r="P153" s="16" t="str"/>
      <x:c r="Q153" s="16" t="str">
        <x:v>Phase 14</x:v>
      </x:c>
    </x:row>
    <x:row r="154" ht="120" hidden="0" customHeight="1">
      <x:c r="A154" s="16" t="str">
        <x:v>LAB-150</x:v>
      </x:c>
      <x:c r="B154" s="16" t="n">
        <x:v>15</x:v>
      </x:c>
      <x:c r="C154" s="16" t="str">
        <x:v>Design, Migration &amp; Expert Integration</x:v>
      </x:c>
      <x:c r="D154" s="16" t="str">
        <x:v>Greenfield dual-stack SR-MPLS core build</x:v>
      </x:c>
      <x:c r="E154" s="16" t="str">
        <x:v>Configure, explain, verify, break, and restore greenfield dual-stack sr-mpls core build on IOS XR.</x:v>
      </x:c>
      <x:c r="F154" s="16" t="str">
        <x:v>8–12 mixed-role nodes</x:v>
      </x:c>
      <x:c r="G154" s="16" t="n">
        <x:v>6</x:v>
      </x:c>
      <x:c r="H154" s="16" t="str">
        <x:v>Expert</x:v>
      </x:c>
      <x:c r="I154" s="16" t="str">
        <x:v>Critical</x:v>
      </x:c>
      <x:c r="J154" s="16" t="str"/>
      <x:c r="K154" s="16" t="str">
        <x:v>Not Started</x:v>
      </x:c>
      <x:c r="L154" s="16" t="n">
        <x:v>0</x:v>
      </x:c>
      <x:c r="M154" s="16" t="str"/>
      <x:c r="N154" s="33" t="str"/>
      <x:c r="O154" s="16" t="str">
        <x:v>Configs; control-plane output; forwarding/traffic proof; fault + root cause; pre/post/rollback</x:v>
      </x:c>
      <x:c r="P154" s="16" t="str"/>
      <x:c r="Q154" s="16" t="str">
        <x:v>Phase 15</x:v>
      </x:c>
    </x:row>
    <x:row r="155" ht="120" hidden="0" customHeight="1">
      <x:c r="A155" s="16" t="str">
        <x:v>LAB-151</x:v>
      </x:c>
      <x:c r="B155" s="16" t="n">
        <x:v>15</x:v>
      </x:c>
      <x:c r="C155" s="16" t="str">
        <x:v>Design, Migration &amp; Expert Integration</x:v>
      </x:c>
      <x:c r="D155" s="16" t="str">
        <x:v>Brownfield LDP to SR-MPLS migration</x:v>
      </x:c>
      <x:c r="E155" s="16" t="str">
        <x:v>Configure, explain, verify, break, and restore brownfield ldp to sr-mpls migration on IOS XR.</x:v>
      </x:c>
      <x:c r="F155" s="16" t="str">
        <x:v>8–12 mixed-role nodes</x:v>
      </x:c>
      <x:c r="G155" s="16" t="n">
        <x:v>6</x:v>
      </x:c>
      <x:c r="H155" s="16" t="str">
        <x:v>Expert</x:v>
      </x:c>
      <x:c r="I155" s="16" t="str">
        <x:v>Critical</x:v>
      </x:c>
      <x:c r="J155" s="16" t="str">
        <x:v>LAB-150</x:v>
      </x:c>
      <x:c r="K155" s="16" t="str">
        <x:v>Not Started</x:v>
      </x:c>
      <x:c r="L155" s="16" t="n">
        <x:v>0</x:v>
      </x:c>
      <x:c r="M155" s="16" t="str"/>
      <x:c r="N155" s="33" t="str"/>
      <x:c r="O155" s="16" t="str">
        <x:v>Configs; control-plane output; forwarding/traffic proof; fault + root cause; pre/post/rollback</x:v>
      </x:c>
      <x:c r="P155" s="16" t="str"/>
      <x:c r="Q155" s="16" t="str">
        <x:v>Phase 15</x:v>
      </x:c>
    </x:row>
    <x:row r="156" ht="108" hidden="0" customHeight="1">
      <x:c r="A156" s="16" t="str">
        <x:v>LAB-152</x:v>
      </x:c>
      <x:c r="B156" s="16" t="n">
        <x:v>15</x:v>
      </x:c>
      <x:c r="C156" s="16" t="str">
        <x:v>Design, Migration &amp; Expert Integration</x:v>
      </x:c>
      <x:c r="D156" s="16" t="str">
        <x:v>RSVP-TE to SR-TE migration</x:v>
      </x:c>
      <x:c r="E156" s="16" t="str">
        <x:v>Configure, explain, verify, break, and restore rsvp-te to sr-te migration on IOS XR.</x:v>
      </x:c>
      <x:c r="F156" s="16" t="str">
        <x:v>8–12 mixed-role nodes</x:v>
      </x:c>
      <x:c r="G156" s="16" t="n">
        <x:v>6</x:v>
      </x:c>
      <x:c r="H156" s="16" t="str">
        <x:v>Expert</x:v>
      </x:c>
      <x:c r="I156" s="16" t="str">
        <x:v>Critical</x:v>
      </x:c>
      <x:c r="J156" s="16" t="str">
        <x:v>LAB-151</x:v>
      </x:c>
      <x:c r="K156" s="16" t="str">
        <x:v>Not Started</x:v>
      </x:c>
      <x:c r="L156" s="16" t="n">
        <x:v>0</x:v>
      </x:c>
      <x:c r="M156" s="16" t="str"/>
      <x:c r="N156" s="33" t="str"/>
      <x:c r="O156" s="16" t="str">
        <x:v>Configs; control-plane output; forwarding/traffic proof; fault + root cause; pre/post/rollback</x:v>
      </x:c>
      <x:c r="P156" s="16" t="str"/>
      <x:c r="Q156" s="16" t="str">
        <x:v>Phase 15</x:v>
      </x:c>
    </x:row>
    <x:row r="157" ht="120" hidden="0" customHeight="1">
      <x:c r="A157" s="16" t="str">
        <x:v>LAB-153</x:v>
      </x:c>
      <x:c r="B157" s="16" t="n">
        <x:v>15</x:v>
      </x:c>
      <x:c r="C157" s="16" t="str">
        <x:v>Design, Migration &amp; Expert Integration</x:v>
      </x:c>
      <x:c r="D157" s="16" t="str">
        <x:v>L3VPN and EVPN shared-core integration</x:v>
      </x:c>
      <x:c r="E157" s="16" t="str">
        <x:v>Configure, explain, verify, break, and restore l3vpn and evpn shared-core integration on IOS XR.</x:v>
      </x:c>
      <x:c r="F157" s="16" t="str">
        <x:v>8–12 mixed-role nodes</x:v>
      </x:c>
      <x:c r="G157" s="16" t="n">
        <x:v>6</x:v>
      </x:c>
      <x:c r="H157" s="16" t="str">
        <x:v>Expert</x:v>
      </x:c>
      <x:c r="I157" s="16" t="str">
        <x:v>Critical</x:v>
      </x:c>
      <x:c r="J157" s="16" t="str">
        <x:v>LAB-152</x:v>
      </x:c>
      <x:c r="K157" s="16" t="str">
        <x:v>Not Started</x:v>
      </x:c>
      <x:c r="L157" s="16" t="n">
        <x:v>0</x:v>
      </x:c>
      <x:c r="M157" s="16" t="str"/>
      <x:c r="N157" s="33" t="str"/>
      <x:c r="O157" s="16" t="str">
        <x:v>Configs; control-plane output; forwarding/traffic proof; fault + root cause; pre/post/rollback</x:v>
      </x:c>
      <x:c r="P157" s="16" t="str"/>
      <x:c r="Q157" s="16" t="str">
        <x:v>Phase 15</x:v>
      </x:c>
    </x:row>
    <x:row r="158" ht="108" hidden="0" customHeight="1">
      <x:c r="A158" s="16" t="str">
        <x:v>LAB-154</x:v>
      </x:c>
      <x:c r="B158" s="16" t="n">
        <x:v>15</x:v>
      </x:c>
      <x:c r="C158" s="16" t="str">
        <x:v>Design, Migration &amp; Expert Integration</x:v>
      </x:c>
      <x:c r="D158" s="16" t="str">
        <x:v>Inter-AS VPN service expansion</x:v>
      </x:c>
      <x:c r="E158" s="16" t="str">
        <x:v>Configure, explain, verify, break, and restore inter-as vpn service expansion on IOS XR.</x:v>
      </x:c>
      <x:c r="F158" s="16" t="str">
        <x:v>8–12 mixed-role nodes</x:v>
      </x:c>
      <x:c r="G158" s="16" t="n">
        <x:v>6</x:v>
      </x:c>
      <x:c r="H158" s="16" t="str">
        <x:v>Expert</x:v>
      </x:c>
      <x:c r="I158" s="16" t="str">
        <x:v>Critical</x:v>
      </x:c>
      <x:c r="J158" s="16" t="str">
        <x:v>LAB-153</x:v>
      </x:c>
      <x:c r="K158" s="16" t="str">
        <x:v>Not Started</x:v>
      </x:c>
      <x:c r="L158" s="16" t="n">
        <x:v>0</x:v>
      </x:c>
      <x:c r="M158" s="16" t="str"/>
      <x:c r="N158" s="33" t="str"/>
      <x:c r="O158" s="16" t="str">
        <x:v>Configs; control-plane output; forwarding/traffic proof; fault + root cause; pre/post/rollback</x:v>
      </x:c>
      <x:c r="P158" s="16" t="str"/>
      <x:c r="Q158" s="16" t="str">
        <x:v>Phase 15</x:v>
      </x:c>
    </x:row>
    <x:row r="159" ht="120" hidden="0" customHeight="1">
      <x:c r="A159" s="16" t="str">
        <x:v>LAB-155</x:v>
      </x:c>
      <x:c r="B159" s="16" t="n">
        <x:v>15</x:v>
      </x:c>
      <x:c r="C159" s="16" t="str">
        <x:v>Design, Migration &amp; Expert Integration</x:v>
      </x:c>
      <x:c r="D159" s="16" t="str">
        <x:v>Multi-domain BGP-LU service transport</x:v>
      </x:c>
      <x:c r="E159" s="16" t="str">
        <x:v>Configure, explain, verify, break, and restore multi-domain bgp-lu service transport on IOS XR.</x:v>
      </x:c>
      <x:c r="F159" s="16" t="str">
        <x:v>8–12 mixed-role nodes</x:v>
      </x:c>
      <x:c r="G159" s="16" t="n">
        <x:v>6</x:v>
      </x:c>
      <x:c r="H159" s="16" t="str">
        <x:v>Expert</x:v>
      </x:c>
      <x:c r="I159" s="16" t="str">
        <x:v>Critical</x:v>
      </x:c>
      <x:c r="J159" s="16" t="str">
        <x:v>LAB-154</x:v>
      </x:c>
      <x:c r="K159" s="16" t="str">
        <x:v>Not Started</x:v>
      </x:c>
      <x:c r="L159" s="16" t="n">
        <x:v>0</x:v>
      </x:c>
      <x:c r="M159" s="16" t="str"/>
      <x:c r="N159" s="33" t="str"/>
      <x:c r="O159" s="16" t="str">
        <x:v>Configs; control-plane output; forwarding/traffic proof; fault + root cause; pre/post/rollback</x:v>
      </x:c>
      <x:c r="P159" s="16" t="str"/>
      <x:c r="Q159" s="16" t="str">
        <x:v>Phase 15</x:v>
      </x:c>
    </x:row>
    <x:row r="160" ht="132" hidden="0" customHeight="1">
      <x:c r="A160" s="16" t="str">
        <x:v>LAB-156</x:v>
      </x:c>
      <x:c r="B160" s="16" t="n">
        <x:v>15</x:v>
      </x:c>
      <x:c r="C160" s="16" t="str">
        <x:v>Design, Migration &amp; Expert Integration</x:v>
      </x:c>
      <x:c r="D160" s="16" t="str">
        <x:v>Capacity and failure-domain design review</x:v>
      </x:c>
      <x:c r="E160" s="16" t="str">
        <x:v>Configure, explain, verify, break, and restore capacity and failure-domain design review on IOS XR.</x:v>
      </x:c>
      <x:c r="F160" s="16" t="str">
        <x:v>8–12 mixed-role nodes</x:v>
      </x:c>
      <x:c r="G160" s="16" t="n">
        <x:v>6</x:v>
      </x:c>
      <x:c r="H160" s="16" t="str">
        <x:v>Expert</x:v>
      </x:c>
      <x:c r="I160" s="16" t="str">
        <x:v>Critical</x:v>
      </x:c>
      <x:c r="J160" s="16" t="str">
        <x:v>LAB-155</x:v>
      </x:c>
      <x:c r="K160" s="16" t="str">
        <x:v>Not Started</x:v>
      </x:c>
      <x:c r="L160" s="16" t="n">
        <x:v>0</x:v>
      </x:c>
      <x:c r="M160" s="16" t="str"/>
      <x:c r="N160" s="33" t="str"/>
      <x:c r="O160" s="16" t="str">
        <x:v>Configs; control-plane output; forwarding/traffic proof; fault + root cause; pre/post/rollback</x:v>
      </x:c>
      <x:c r="P160" s="16" t="str"/>
      <x:c r="Q160" s="16" t="str">
        <x:v>Phase 15</x:v>
      </x:c>
    </x:row>
    <x:row r="161" ht="108" hidden="0" customHeight="1">
      <x:c r="A161" s="16" t="str">
        <x:v>LAB-157</x:v>
      </x:c>
      <x:c r="B161" s="16" t="n">
        <x:v>15</x:v>
      </x:c>
      <x:c r="C161" s="16" t="str">
        <x:v>Design, Migration &amp; Expert Integration</x:v>
      </x:c>
      <x:c r="D161" s="16" t="str">
        <x:v>Timed fault set: IGP + MPLS + BGP</x:v>
      </x:c>
      <x:c r="E161" s="16" t="str">
        <x:v>Configure, explain, verify, break, and restore timed fault set: igp + mpls + bgp on IOS XR.</x:v>
      </x:c>
      <x:c r="F161" s="16" t="str">
        <x:v>8–12 mixed-role nodes</x:v>
      </x:c>
      <x:c r="G161" s="16" t="n">
        <x:v>6</x:v>
      </x:c>
      <x:c r="H161" s="16" t="str">
        <x:v>Expert</x:v>
      </x:c>
      <x:c r="I161" s="16" t="str">
        <x:v>Critical</x:v>
      </x:c>
      <x:c r="J161" s="16" t="str">
        <x:v>LAB-156</x:v>
      </x:c>
      <x:c r="K161" s="16" t="str">
        <x:v>Not Started</x:v>
      </x:c>
      <x:c r="L161" s="16" t="n">
        <x:v>0</x:v>
      </x:c>
      <x:c r="M161" s="16" t="str"/>
      <x:c r="N161" s="33" t="str"/>
      <x:c r="O161" s="16" t="str">
        <x:v>Configs; control-plane output; forwarding/traffic proof; fault + root cause; pre/post/rollback</x:v>
      </x:c>
      <x:c r="P161" s="16" t="str"/>
      <x:c r="Q161" s="16" t="str">
        <x:v>Phase 15</x:v>
      </x:c>
    </x:row>
    <x:row r="162" ht="108" hidden="0" customHeight="1">
      <x:c r="A162" s="16" t="str">
        <x:v>LAB-158</x:v>
      </x:c>
      <x:c r="B162" s="16" t="n">
        <x:v>15</x:v>
      </x:c>
      <x:c r="C162" s="16" t="str">
        <x:v>Design, Migration &amp; Expert Integration</x:v>
      </x:c>
      <x:c r="D162" s="16" t="str">
        <x:v>Timed fault set: L3VPN + policy + QoS</x:v>
      </x:c>
      <x:c r="E162" s="16" t="str">
        <x:v>Configure, explain, verify, break, and restore timed fault set: l3vpn + policy + qos on IOS XR.</x:v>
      </x:c>
      <x:c r="F162" s="16" t="str">
        <x:v>8–12 mixed-role nodes</x:v>
      </x:c>
      <x:c r="G162" s="16" t="n">
        <x:v>6</x:v>
      </x:c>
      <x:c r="H162" s="16" t="str">
        <x:v>Expert</x:v>
      </x:c>
      <x:c r="I162" s="16" t="str">
        <x:v>Critical</x:v>
      </x:c>
      <x:c r="J162" s="16" t="str">
        <x:v>LAB-157</x:v>
      </x:c>
      <x:c r="K162" s="16" t="str">
        <x:v>Not Started</x:v>
      </x:c>
      <x:c r="L162" s="16" t="n">
        <x:v>0</x:v>
      </x:c>
      <x:c r="M162" s="16" t="str"/>
      <x:c r="N162" s="33" t="str"/>
      <x:c r="O162" s="16" t="str">
        <x:v>Configs; control-plane output; forwarding/traffic proof; fault + root cause; pre/post/rollback</x:v>
      </x:c>
      <x:c r="P162" s="16" t="str"/>
      <x:c r="Q162" s="16" t="str">
        <x:v>Phase 15</x:v>
      </x:c>
    </x:row>
    <x:row r="163" ht="120" hidden="0" customHeight="1">
      <x:c r="A163" s="16" t="str">
        <x:v>LAB-159</x:v>
      </x:c>
      <x:c r="B163" s="16" t="n">
        <x:v>15</x:v>
      </x:c>
      <x:c r="C163" s="16" t="str">
        <x:v>Design, Migration &amp; Expert Integration</x:v>
      </x:c>
      <x:c r="D163" s="16" t="str">
        <x:v>Timed fault set: EVPN + multihoming + OAM</x:v>
      </x:c>
      <x:c r="E163" s="16" t="str">
        <x:v>Configure, explain, verify, break, and restore timed fault set: evpn + multihoming + oam on IOS XR.</x:v>
      </x:c>
      <x:c r="F163" s="16" t="str">
        <x:v>8–12 mixed-role nodes</x:v>
      </x:c>
      <x:c r="G163" s="16" t="n">
        <x:v>6</x:v>
      </x:c>
      <x:c r="H163" s="16" t="str">
        <x:v>Expert</x:v>
      </x:c>
      <x:c r="I163" s="16" t="str">
        <x:v>Critical</x:v>
      </x:c>
      <x:c r="J163" s="16" t="str">
        <x:v>LAB-158</x:v>
      </x:c>
      <x:c r="K163" s="16" t="str">
        <x:v>Not Started</x:v>
      </x:c>
      <x:c r="L163" s="16" t="n">
        <x:v>0</x:v>
      </x:c>
      <x:c r="M163" s="16" t="str"/>
      <x:c r="N163" s="33" t="str"/>
      <x:c r="O163" s="16" t="str">
        <x:v>Configs; control-plane output; forwarding/traffic proof; fault + root cause; pre/post/rollback</x:v>
      </x:c>
      <x:c r="P163" s="16" t="str"/>
      <x:c r="Q163" s="16" t="str">
        <x:v>Phase 15</x:v>
      </x:c>
    </x:row>
    <x:row r="164" ht="132" hidden="0" customHeight="1">
      <x:c r="A164" s="16" t="str">
        <x:v>LAB-160</x:v>
      </x:c>
      <x:c r="B164" s="16" t="n">
        <x:v>15</x:v>
      </x:c>
      <x:c r="C164" s="16" t="str">
        <x:v>Design, Migration &amp; Expert Integration</x:v>
      </x:c>
      <x:c r="D164" s="16" t="str">
        <x:v>Change plan with rollback and blast-radius defense</x:v>
      </x:c>
      <x:c r="E164" s="16" t="str">
        <x:v>Configure, explain, verify, break, and restore change plan with rollback and blast-radius defense on IOS XR.</x:v>
      </x:c>
      <x:c r="F164" s="16" t="str">
        <x:v>8–12 mixed-role nodes</x:v>
      </x:c>
      <x:c r="G164" s="16" t="n">
        <x:v>6</x:v>
      </x:c>
      <x:c r="H164" s="16" t="str">
        <x:v>Expert</x:v>
      </x:c>
      <x:c r="I164" s="16" t="str">
        <x:v>Critical</x:v>
      </x:c>
      <x:c r="J164" s="16" t="str">
        <x:v>LAB-159</x:v>
      </x:c>
      <x:c r="K164" s="16" t="str">
        <x:v>Not Started</x:v>
      </x:c>
      <x:c r="L164" s="16" t="n">
        <x:v>0</x:v>
      </x:c>
      <x:c r="M164" s="16" t="str"/>
      <x:c r="N164" s="33" t="str"/>
      <x:c r="O164" s="16" t="str">
        <x:v>Configs; control-plane output; forwarding/traffic proof; fault + root cause; pre/post/rollback</x:v>
      </x:c>
      <x:c r="P164" s="16" t="str"/>
      <x:c r="Q164" s="16" t="str">
        <x:v>Phase 15</x:v>
      </x:c>
    </x:row>
    <x:row r="165" ht="144" hidden="0" customHeight="1">
      <x:c r="A165" s="17" t="str">
        <x:v>LAB-161</x:v>
      </x:c>
      <x:c r="B165" s="17" t="n">
        <x:v>15</x:v>
      </x:c>
      <x:c r="C165" s="17" t="str">
        <x:v>Design, Migration &amp; Expert Integration</x:v>
      </x:c>
      <x:c r="D165" s="17" t="str">
        <x:v>Eight-hour mock lab: plan/design + deploy/operate/optimize</x:v>
      </x:c>
      <x:c r="E165" s="17" t="str">
        <x:v>Configure, explain, verify, break, and restore eight-hour mock lab: plan/design + deploy/operate/optimize on IOS XR.</x:v>
      </x:c>
      <x:c r="F165" s="17" t="str">
        <x:v>8–12 mixed-role nodes</x:v>
      </x:c>
      <x:c r="G165" s="17" t="n">
        <x:v>6</x:v>
      </x:c>
      <x:c r="H165" s="17" t="str">
        <x:v>Expert</x:v>
      </x:c>
      <x:c r="I165" s="17" t="str">
        <x:v>Critical</x:v>
      </x:c>
      <x:c r="J165" s="17" t="str">
        <x:v>LAB-160</x:v>
      </x:c>
      <x:c r="K165" s="17" t="str">
        <x:v>Not Started</x:v>
      </x:c>
      <x:c r="L165" s="17" t="n">
        <x:v>0</x:v>
      </x:c>
      <x:c r="M165" s="17" t="str"/>
      <x:c r="N165" s="34" t="str"/>
      <x:c r="O165" s="17" t="str">
        <x:v>Configs; control-plane output; forwarding/traffic proof; fault + root cause; pre/post/rollback</x:v>
      </x:c>
      <x:c r="P165" s="17" t="str"/>
      <x:c r="Q165" s="17" t="str">
        <x:v>Phase 15</x:v>
      </x:c>
    </x:row>
  </x:sheetData>
  <x:mergeCells>
    <x:mergeCell ref="A1:Q1"/>
    <x:mergeCell ref="A2:H2"/>
  </x:mergeCells>
  <x:conditionalFormatting sqref="K5:K165">
    <x:cfRule type="containsText" dxfId="0" priority="1" operator="containsText" text="Mastered"/>
    <x:cfRule type="containsText" dxfId="1" priority="2" operator="containsText" text="In Progress"/>
    <x:cfRule type="containsText" dxfId="2" priority="3" operator="containsText" text="Blocked"/>
  </x:conditionalFormatting>
  <x:dataValidations count="2">
    <x:dataValidation type="list" sqref="K5:K165">
      <x:formula1>"Not Started,In Progress,Blocked,Review,Mastered,Revisit"</x:formula1>
    </x:dataValidation>
    <x:dataValidation type="whole" operator="between" sqref="L5:L165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2cdb80329a741b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20" hidden="0" customWidth="1"/>
    <x:col min="4" max="4" width="52" hidden="0" customWidth="1"/>
    <x:col min="5" max="5" width="10" hidden="0" customWidth="1"/>
    <x:col min="6" max="6" width="14" hidden="0" customWidth="1"/>
    <x:col min="7" max="7" width="44" hidden="0" customWidth="1"/>
    <x:col min="8" max="8" width="15" hidden="0" customWidth="1"/>
    <x:col min="9" max="9" width="12" hidden="0" customWidth="1"/>
    <x:col min="10" max="10" width="38" hidden="0" customWidth="1"/>
  </x:cols>
  <x:sheetData>
    <x:row r="1" ht="34" customHeight="1">
      <x:c r="A1" s="56" t="str">
        <x:v>Capstones &amp; Timed Milestones</x:v>
      </x:c>
      <x:c r="B1" s="56"/>
      <x:c r="C1" s="56"/>
      <x:c r="D1" s="56"/>
      <x:c r="E1" s="56"/>
      <x:c r="F1" s="56"/>
      <x:c r="G1" s="56"/>
      <x:c r="H1" s="56"/>
      <x:c r="I1" s="56"/>
      <x:c r="J1" s="56"/>
    </x:row>
    <x:row r="2" ht="30" customHeight="1">
      <x:c r="A2" s="57" t="str">
        <x:v>Attempt only after the prerequisite phases meet their exit gates</x:v>
      </x:c>
      <x:c r="B2" s="57" t="str">
        <x:v>Attempt only after the prerequisite phases meet their exit gates</x:v>
      </x:c>
      <x:c r="C2" s="57" t="str">
        <x:v>Attempt only after the prerequisite phases meet their exit gates</x:v>
      </x:c>
      <x:c r="D2" s="57" t="str">
        <x:v>Attempt only after the prerequisite phases meet their exit gates</x:v>
      </x:c>
      <x:c r="E2" s="57" t="str">
        <x:v>Attempt only after the prerequisite phases meet their exit gates</x:v>
      </x:c>
      <x:c r="F2" s="57" t="str">
        <x:v>Attempt only after the prerequisite phases meet their exit gates</x:v>
      </x:c>
      <x:c r="G2" s="57" t="str">
        <x:v>Attempt only after the prerequisite phases meet their exit gates</x:v>
      </x:c>
      <x:c r="H2" s="57" t="str">
        <x:v>Attempt only after the prerequisite phases meet their exit gates</x:v>
      </x:c>
      <x:c r="I2" s="58"/>
      <x:c r="J2" s="58"/>
    </x:row>
    <x:row r="3">
      <x:c r="A3" s="58"/>
      <x:c r="B3" s="58"/>
      <x:c r="C3" s="58"/>
      <x:c r="D3" s="58"/>
      <x:c r="E3" s="58"/>
      <x:c r="F3" s="58"/>
      <x:c r="G3" s="58"/>
      <x:c r="H3" s="58"/>
      <x:c r="I3" s="58"/>
      <x:c r="J3" s="58"/>
    </x:row>
    <x:row r="4" ht="30" customHeight="1">
      <x:c r="A4" s="60" t="str">
        <x:v>ID</x:v>
      </x:c>
      <x:c r="B4" s="61" t="str">
        <x:v>Name</x:v>
      </x:c>
      <x:c r="C4" s="61" t="str">
        <x:v>Prerequisite Phases</x:v>
      </x:c>
      <x:c r="D4" s="61" t="str">
        <x:v>Scenario</x:v>
      </x:c>
      <x:c r="E4" s="61" t="str">
        <x:v>Nodes</x:v>
      </x:c>
      <x:c r="F4" s="61" t="str">
        <x:v>Timebox</x:v>
      </x:c>
      <x:c r="G4" s="61" t="str">
        <x:v>Required Evidence</x:v>
      </x:c>
      <x:c r="H4" s="61" t="str">
        <x:v>Status</x:v>
      </x:c>
      <x:c r="I4" s="61" t="str">
        <x:v>Confidence</x:v>
      </x:c>
      <x:c r="J4" s="62" t="str">
        <x:v>Notes / Gap</x:v>
      </x:c>
    </x:row>
    <x:row r="5" ht="72" hidden="0" customHeight="1">
      <x:c r="A5" s="15" t="str">
        <x:v>CAP-01</x:v>
      </x:c>
      <x:c r="B5" s="15" t="str">
        <x:v>Core Bring-up</x:v>
      </x:c>
      <x:c r="C5" s="15" t="str">
        <x:v>1–3</x:v>
      </x:c>
      <x:c r="D5" s="15" t="str">
        <x:v>Build dual-stack IS-IS + RR-based BGP core from blank</x:v>
      </x:c>
      <x:c r="E5" s="15" t="str">
        <x:v>6</x:v>
      </x:c>
      <x:c r="F5" s="15" t="str">
        <x:v>Untimed</x:v>
      </x:c>
      <x:c r="G5" s="15" t="str">
        <x:v>Core reachability, policy, evidence pack</x:v>
      </x:c>
      <x:c r="H5" s="15" t="str">
        <x:v>Not Started</x:v>
      </x:c>
      <x:c r="I5" s="15" t="n">
        <x:v>0</x:v>
      </x:c>
      <x:c r="J5" s="15" t="str"/>
    </x:row>
    <x:row r="6" ht="108" hidden="0" customHeight="1">
      <x:c r="A6" s="16" t="str">
        <x:v>CAP-02</x:v>
      </x:c>
      <x:c r="B6" s="16" t="str">
        <x:v>MPLS Transport</x:v>
      </x:c>
      <x:c r="C6" s="16" t="str">
        <x:v>2–5</x:v>
      </x:c>
      <x:c r="D6" s="16" t="str">
        <x:v>Run LDP, RSVP-TE and SR-MPLS transports; compare forwarding and failure behavior</x:v>
      </x:c>
      <x:c r="E6" s="16" t="str">
        <x:v>8</x:v>
      </x:c>
      <x:c r="F6" s="16" t="str">
        <x:v>Untimed</x:v>
      </x:c>
      <x:c r="G6" s="16" t="str">
        <x:v>Label trace, TE path, failure comparison</x:v>
      </x:c>
      <x:c r="H6" s="16" t="str">
        <x:v>Not Started</x:v>
      </x:c>
      <x:c r="I6" s="16" t="n">
        <x:v>0</x:v>
      </x:c>
      <x:c r="J6" s="16" t="str"/>
    </x:row>
    <x:row r="7" ht="84" hidden="0" customHeight="1">
      <x:c r="A7" s="16" t="str">
        <x:v>CAP-03</x:v>
      </x:c>
      <x:c r="B7" s="16" t="str">
        <x:v>L3VPN Provider</x:v>
      </x:c>
      <x:c r="C7" s="16" t="str">
        <x:v>3–6</x:v>
      </x:c>
      <x:c r="D7" s="16" t="str">
        <x:v>Deploy dual-stack L3VPN with diverse PE-CE and selective leaking</x:v>
      </x:c>
      <x:c r="E7" s="16" t="str">
        <x:v>8</x:v>
      </x:c>
      <x:c r="F7" s="16" t="str">
        <x:v>6 hours</x:v>
      </x:c>
      <x:c r="G7" s="16" t="str">
        <x:v>Service matrix, route/label trace, rollback</x:v>
      </x:c>
      <x:c r="H7" s="16" t="str">
        <x:v>Not Started</x:v>
      </x:c>
      <x:c r="I7" s="16" t="n">
        <x:v>0</x:v>
      </x:c>
      <x:c r="J7" s="16" t="str"/>
    </x:row>
    <x:row r="8" ht="108" hidden="0" customHeight="1">
      <x:c r="A8" s="16" t="str">
        <x:v>CAP-04</x:v>
      </x:c>
      <x:c r="B8" s="16" t="str">
        <x:v>EVPN Metro</x:v>
      </x:c>
      <x:c r="C8" s="16" t="str">
        <x:v>3,5,7,11</x:v>
      </x:c>
      <x:c r="D8" s="16" t="str">
        <x:v>Deploy EVPN E-LAN/VPWS with all-active multihoming and convergence tests</x:v>
      </x:c>
      <x:c r="E8" s="16" t="str">
        <x:v>8</x:v>
      </x:c>
      <x:c r="F8" s="16" t="str">
        <x:v>6 hours</x:v>
      </x:c>
      <x:c r="G8" s="16" t="str">
        <x:v>EVPN route proof, DF/failover timing, OAM</x:v>
      </x:c>
      <x:c r="H8" s="16" t="str">
        <x:v>Not Started</x:v>
      </x:c>
      <x:c r="I8" s="16" t="n">
        <x:v>0</x:v>
      </x:c>
      <x:c r="J8" s="16" t="str"/>
    </x:row>
    <x:row r="9" ht="72" hidden="0" customHeight="1">
      <x:c r="A9" s="16" t="str">
        <x:v>CAP-05</x:v>
      </x:c>
      <x:c r="B9" s="16" t="str">
        <x:v>mVPN + QoS</x:v>
      </x:c>
      <x:c r="C9" s="16" t="str">
        <x:v>6,8,10</x:v>
      </x:c>
      <x:c r="D9" s="16" t="str">
        <x:v>Deliver multicast VPN with measurable QoS under congestion</x:v>
      </x:c>
      <x:c r="E9" s="16" t="str">
        <x:v>6</x:v>
      </x:c>
      <x:c r="F9" s="16" t="str">
        <x:v>5 hours</x:v>
      </x:c>
      <x:c r="G9" s="16" t="str">
        <x:v>Tree/RPF proof, loss/queue measurements</x:v>
      </x:c>
      <x:c r="H9" s="16" t="str">
        <x:v>Not Started</x:v>
      </x:c>
      <x:c r="I9" s="16" t="n">
        <x:v>0</x:v>
      </x:c>
      <x:c r="J9" s="16" t="str"/>
    </x:row>
    <x:row r="10" ht="84" hidden="0" customHeight="1">
      <x:c r="A10" s="16" t="str">
        <x:v>CAP-06</x:v>
      </x:c>
      <x:c r="B10" s="16" t="str">
        <x:v>Secure Operations</x:v>
      </x:c>
      <x:c r="C10" s="16" t="str">
        <x:v>11–14</x:v>
      </x:c>
      <x:c r="D10" s="16" t="str">
        <x:v>Harden, instrument and automate a brownfield service network</x:v>
      </x:c>
      <x:c r="E10" s="16" t="str">
        <x:v>8</x:v>
      </x:c>
      <x:c r="F10" s="16" t="str">
        <x:v>6 hours</x:v>
      </x:c>
      <x:c r="G10" s="16" t="str">
        <x:v>Change plan, telemetry, compliance and rollback</x:v>
      </x:c>
      <x:c r="H10" s="16" t="str">
        <x:v>Not Started</x:v>
      </x:c>
      <x:c r="I10" s="16" t="n">
        <x:v>0</x:v>
      </x:c>
      <x:c r="J10" s="16" t="str"/>
    </x:row>
    <x:row r="11" ht="96" hidden="0" customHeight="1">
      <x:c r="A11" s="16" t="str">
        <x:v>CAP-07</x:v>
      </x:c>
      <x:c r="B11" s="16" t="str">
        <x:v>Mixed Fault Marathon</x:v>
      </x:c>
      <x:c r="C11" s="16" t="str">
        <x:v>All</x:v>
      </x:c>
      <x:c r="D11" s="16" t="str">
        <x:v>Diagnose 12 seeded faults spanning underlay, transport, VPN, QoS and security</x:v>
      </x:c>
      <x:c r="E11" s="16" t="str">
        <x:v>10</x:v>
      </x:c>
      <x:c r="F11" s="16" t="str">
        <x:v>8 hours</x:v>
      </x:c>
      <x:c r="G11" s="16" t="str">
        <x:v>Hypothesis/evidence log and minimal fixes</x:v>
      </x:c>
      <x:c r="H11" s="16" t="str">
        <x:v>Not Started</x:v>
      </x:c>
      <x:c r="I11" s="16" t="n">
        <x:v>0</x:v>
      </x:c>
      <x:c r="J11" s="16" t="str"/>
    </x:row>
    <x:row r="12" ht="84" hidden="0" customHeight="1">
      <x:c r="A12" s="17" t="str">
        <x:v>CAP-08</x:v>
      </x:c>
      <x:c r="B12" s="17" t="str">
        <x:v>Full CCIE-SP Simulation</x:v>
      </x:c>
      <x:c r="C12" s="17" t="str">
        <x:v>All</x:v>
      </x:c>
      <x:c r="D12" s="17" t="str">
        <x:v>Plan/design, deploy, operate and optimize a complex dual-stack SP network</x:v>
      </x:c>
      <x:c r="E12" s="17" t="str">
        <x:v>12</x:v>
      </x:c>
      <x:c r="F12" s="17" t="str">
        <x:v>8 hours</x:v>
      </x:c>
      <x:c r="G12" s="17" t="str">
        <x:v>Score sheet, evidence package and gap backlog</x:v>
      </x:c>
      <x:c r="H12" s="17" t="str">
        <x:v>Not Started</x:v>
      </x:c>
      <x:c r="I12" s="17" t="n">
        <x:v>0</x:v>
      </x:c>
      <x:c r="J12" s="17" t="str"/>
    </x:row>
  </x:sheetData>
  <x:mergeCells>
    <x:mergeCell ref="A1:J1"/>
    <x:mergeCell ref="A2:H2"/>
  </x:mergeCells>
  <x:dataValidations count="2">
    <x:dataValidation type="list" sqref="H5:H12">
      <x:formula1>"Not Started,In Progress,Blocked,Review,Mastered,Revisit"</x:formula1>
    </x:dataValidation>
    <x:dataValidation type="whole" operator="between" sqref="I5:I12">
      <x:formula1>0</x:formula1>
      <x:formula2>5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72" hidden="0" customWidth="1"/>
    <x:col min="3" max="3" width="28" hidden="0" customWidth="1"/>
    <x:col min="4" max="4" width="52" hidden="0" customWidth="1"/>
  </x:cols>
  <x:sheetData>
    <x:row r="1" ht="34" customHeight="1">
      <x:c r="A1" s="56" t="str">
        <x:v>Sources &amp; Scope Notes</x:v>
      </x:c>
      <x:c r="B1" s="56"/>
      <x:c r="C1" s="56"/>
      <x:c r="D1" s="56"/>
      <x:c r="E1" s="58"/>
      <x:c r="F1" s="58"/>
      <x:c r="G1" s="58"/>
      <x:c r="H1" s="58"/>
    </x:row>
    <x:row r="2" ht="30" customHeight="1">
      <x:c r="A2" s="57" t="str">
        <x:v>Official Cisco references used to anchor the current certification scope; roadmap intentionally extends beyond the exam</x:v>
      </x:c>
      <x:c r="B2" s="57" t="str">
        <x:v>Official Cisco references used to anchor the current certification scope; roadmap intentionally extends beyond the exam</x:v>
      </x:c>
      <x:c r="C2" s="57" t="str">
        <x:v>Official Cisco references used to anchor the current certification scope; roadmap intentionally extends beyond the exam</x:v>
      </x:c>
      <x:c r="D2" s="57" t="str">
        <x:v>Official Cisco references used to anchor the current certification scope; roadmap intentionally extends beyond the exam</x:v>
      </x:c>
      <x:c r="E2" s="57" t="str">
        <x:v>Official Cisco references used to anchor the current certification scope; roadmap intentionally extends beyond the exam</x:v>
      </x:c>
      <x:c r="F2" s="57" t="str">
        <x:v>Official Cisco references used to anchor the current certification scope; roadmap intentionally extends beyond the exam</x:v>
      </x:c>
      <x:c r="G2" s="57" t="str">
        <x:v>Official Cisco references used to anchor the current certification scope; roadmap intentionally extends beyond the exam</x:v>
      </x:c>
      <x:c r="H2" s="57" t="str">
        <x:v>Official Cisco references used to anchor the current certification scope; roadmap intentionally extends beyond the exam</x:v>
      </x:c>
    </x:row>
    <x:row r="3">
      <x:c r="A3" s="58"/>
      <x:c r="B3" s="58"/>
      <x:c r="C3" s="58"/>
      <x:c r="D3" s="58"/>
      <x:c r="E3" s="58"/>
      <x:c r="F3" s="58"/>
      <x:c r="G3" s="58"/>
      <x:c r="H3" s="58"/>
    </x:row>
    <x:row r="4" ht="30" customHeight="1">
      <x:c r="A4" s="60" t="str">
        <x:v>Source</x:v>
      </x:c>
      <x:c r="B4" s="61" t="str">
        <x:v>URL</x:v>
      </x:c>
      <x:c r="C4" s="61" t="str">
        <x:v>Used For</x:v>
      </x:c>
      <x:c r="D4" s="62" t="str">
        <x:v>Scope Note</x:v>
      </x:c>
      <x:c r="E4" s="58"/>
      <x:c r="F4" s="58"/>
      <x:c r="G4" s="58"/>
      <x:c r="H4" s="58"/>
    </x:row>
    <x:row r="5" ht="24" hidden="0" customHeight="1">
      <x:c r="A5" s="15" t="str">
        <x:v>CCIE Service Provider v5.1 Practical Exam Topics</x:v>
      </x:c>
      <x:c r="B5" s="15" t="str">
        <x:v>https://learningnetwork.cisco.com/s/ccie-service-provider-exam-topics</x:v>
      </x:c>
      <x:c r="C5" s="15" t="str">
        <x:v>Current practical-domain alignment</x:v>
      </x:c>
      <x:c r="D5" s="15" t="str">
        <x:v>Core routing; architectures/services; access; convergence; security/assurance/automation</x:v>
      </x:c>
      <x:c r="E5" s="58"/>
      <x:c r="F5" s="58"/>
      <x:c r="G5" s="58"/>
      <x:c r="H5" s="58"/>
    </x:row>
    <x:row r="6" ht="24" hidden="0" customHeight="1">
      <x:c r="A6" s="16" t="str">
        <x:v>CCIE Service Provider exams and training</x:v>
      </x:c>
      <x:c r="B6" s="16" t="str">
        <x:v>https://www.cisco.com/site/us/en/learn/training-certifications/certifications/service-provider/ccie-service-provider/exams-and-training.html</x:v>
      </x:c>
      <x:c r="C6" s="16" t="str">
        <x:v>Current exam intent and lifecycle</x:v>
      </x:c>
      <x:c r="D6" s="16" t="str">
        <x:v>Plan, design, implement, operate, and optimize dual-stack SP networks</x:v>
      </x:c>
      <x:c r="E6" s="58"/>
      <x:c r="F6" s="58"/>
      <x:c r="G6" s="58"/>
      <x:c r="H6" s="58"/>
    </x:row>
    <x:row r="7" ht="15" hidden="0" customHeight="1">
      <x:c r="A7" s="16" t="str">
        <x:v>CCIE Service Provider v5.1 equipment/software list</x:v>
      </x:c>
      <x:c r="B7" s="16" t="str">
        <x:v>https://learningnetwork.cisco.com/s/article/ccie-service-provider-v5-0-equipment-and-software-list</x:v>
      </x:c>
      <x:c r="C7" s="16" t="str">
        <x:v>Platform awareness</x:v>
      </x:c>
      <x:c r="D7" s="16" t="str">
        <x:v>Exact feature support depends on the lab image/release</x:v>
      </x:c>
      <x:c r="E7" s="58"/>
      <x:c r="F7" s="58"/>
      <x:c r="G7" s="58"/>
      <x:c r="H7" s="58"/>
    </x:row>
    <x:row r="8" ht="24" hidden="0" customHeight="1">
      <x:c r="A8" s="17" t="str">
        <x:v>Cisco IOS XR configuration guides</x:v>
      </x:c>
      <x:c r="B8" s="17" t="str">
        <x:v>https://www.cisco.com/c/en/us/support/ios-nx-os-software/ios-xr-software/products-installation-and-configuration-guides-list.html</x:v>
      </x:c>
      <x:c r="C8" s="17" t="str">
        <x:v>Implementation reference</x:v>
      </x:c>
      <x:c r="D8" s="17" t="str">
        <x:v>Use release-matched guides while executing each lab</x:v>
      </x:c>
      <x:c r="E8" s="58"/>
      <x:c r="F8" s="58"/>
      <x:c r="G8" s="58"/>
      <x:c r="H8" s="58"/>
    </x:row>
  </x:sheetData>
  <x:mergeCells>
    <x:mergeCell ref="A1:D1"/>
    <x:mergeCell ref="A2:H2"/>
  </x:mergeCells>
  <x:pageMargins left="0.7" right="0.7" top="0.75" bottom="0.75" header="0.3" footer="0.3"/>
</x:worksheet>
</file>