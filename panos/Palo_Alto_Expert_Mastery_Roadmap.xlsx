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Dashboard" sheetId="1" state="visible" r:id="rId1"/>
    <sheet name="Roadmap" sheetId="2" state="visible" r:id="rId2"/>
    <sheet name="Lab Tracker" sheetId="3" state="visible" r:id="rId3"/>
    <sheet name="Image Matrix" sheetId="4" state="visible" r:id="rId4"/>
    <sheet name="Mastery Framework" sheetId="5" state="visible" r:id="rId5"/>
    <sheet name="Mystery Tickets" sheetId="6" state="visible" r:id="rId6"/>
    <sheet name="Guide &amp; Sources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<sst xmlns="http://schemas.openxmlformats.org/spreadsheetml/2006/main" count="1485" uniqueCount="1485">
  <si>
    <t xml:space="preserve">PALO ALTO EXPERT ROADMAP DASHBOARD</t>
  </si>
  <si>
    <t xml:space="preserve">Editable inputs live in Lab Tracker. A score of 7 means the technology can be solved under an unseen fault with evidence.</t>
  </si>
  <si>
    <t xml:space="preserve">TOTAL LABS</t>
  </si>
  <si>
    <t>COMPLETED</t>
  </si>
  <si>
    <t xml:space="preserve">OVERALL PROGRESS</t>
  </si>
  <si>
    <t xml:space="preserve">MASTERED ≥7</t>
  </si>
  <si>
    <t>Phase</t>
  </si>
  <si>
    <t xml:space="preserve">Total Labs</t>
  </si>
  <si>
    <t>Completed</t>
  </si>
  <si>
    <t xml:space="preserve">Mastered ≥7</t>
  </si>
  <si>
    <t xml:space="preserve">Avg Progress</t>
  </si>
  <si>
    <t xml:space="preserve">Planned Hours</t>
  </si>
  <si>
    <t xml:space="preserve">Phase 0 - Platform &amp; Operations Foundation</t>
  </si>
  <si>
    <t xml:space="preserve">Phase 1 - Networking &amp; Segmentation</t>
  </si>
  <si>
    <t xml:space="preserve">Phase 2 - Policy, App-ID &amp; Content</t>
  </si>
  <si>
    <t xml:space="preserve">Phase 3 - NAT Engineering</t>
  </si>
  <si>
    <t xml:space="preserve">Phase 4 - Identity &amp; Access</t>
  </si>
  <si>
    <t xml:space="preserve">Phase 5 - Decryption &amp; Threat Prevention</t>
  </si>
  <si>
    <t xml:space="preserve">Phase 6 - VPN &amp; GlobalProtect</t>
  </si>
  <si>
    <t xml:space="preserve">Phase 7 - High Availability &amp; Lifecycle</t>
  </si>
  <si>
    <t xml:space="preserve">Phase 8 - Panorama &amp; Fleet Management</t>
  </si>
  <si>
    <t xml:space="preserve">Phase 9 - Troubleshooting &amp; Incident Response</t>
  </si>
  <si>
    <t xml:space="preserve">Phase 10 - Automation &amp; Integration</t>
  </si>
  <si>
    <t xml:space="preserve">Phase 11 - Advanced Platforms &amp; Architecture</t>
  </si>
  <si>
    <t xml:space="preserve">Phase 12 - Expert Super Labs</t>
  </si>
  <si>
    <t xml:space="preserve">Recommended cadence: 6-8 hours/week. Do not mark a lab Completed until acceptance checks and evidence are recorded. Do not mark a technology Mastered until an unseen-fault attempt scores at least 7. Future Dependency means planned, not excluded.</t>
  </si>
  <si>
    <t xml:space="preserve">PALO ALTO EXPERT ROADMAP</t>
  </si>
  <si>
    <t xml:space="preserve">Recommended sequence. Weeks are flexible; mastery gates matter more than calendar pace.</t>
  </si>
  <si>
    <t>Outcome</t>
  </si>
  <si>
    <t xml:space="preserve">Suggested Weeks</t>
  </si>
  <si>
    <t xml:space="preserve">Avg Mastery</t>
  </si>
  <si>
    <t xml:space="preserve">Certification Alignment</t>
  </si>
  <si>
    <t xml:space="preserve">Primary Environment</t>
  </si>
  <si>
    <t xml:space="preserve">Exit Criterion</t>
  </si>
  <si>
    <t xml:space="preserve">Establish a secure, repeatable PAN-OS operating baseline without reteaching generic networking.</t>
  </si>
  <si>
    <t>5-7</t>
  </si>
  <si>
    <t xml:space="preserve">NGFW Engineer</t>
  </si>
  <si>
    <t xml:space="preserve">Standalone PA-VM + service containers</t>
  </si>
  <si>
    <t xml:space="preserve">Secure management, config lifecycle, updates, certificates and operational hygiene are repeatable from a clean baseline.</t>
  </si>
  <si>
    <t xml:space="preserve">Master PAN-OS packet forwarding, interface modes, routing, resiliency and segmentation behavior.</t>
  </si>
  <si>
    <t>8-10</t>
  </si>
  <si>
    <t xml:space="preserve">NGFW Engineer / NSP</t>
  </si>
  <si>
    <t xml:space="preserve">PA-VM + VyOS/cSRX/Cisco/Juniper peers</t>
  </si>
  <si>
    <t xml:space="preserve">Can predict route, zone, session and forwarding behavior before testing; can isolate control-plane vs data-plane faults.</t>
  </si>
  <si>
    <t xml:space="preserve">Build application-aware least-privilege policy and layered content inspection.</t>
  </si>
  <si>
    <t xml:space="preserve">PA-VM + clients + web/DNS/file servers</t>
  </si>
  <si>
    <t xml:space="preserve">Can migrate port rules to App-ID safely, attach profiles correctly and prove enforcement from logs and packet evidence.</t>
  </si>
  <si>
    <t xml:space="preserve">Master NAT rule evaluation, policy interaction and hard troubleshooting cases.</t>
  </si>
  <si>
    <t>4-6</t>
  </si>
  <si>
    <t xml:space="preserve">PA-VM + inside/outside/DMZ endpoints</t>
  </si>
  <si>
    <t xml:space="preserve">Can derive original/pre-NAT and translated/post-NAT tuples, predict rule match, and resolve asymmetric or hairpin failures.</t>
  </si>
  <si>
    <t xml:space="preserve">Use identity, groups and authentication as reliable policy inputs.</t>
  </si>
  <si>
    <t xml:space="preserve">PA-VM + FreeRADIUS/TACACS+ + future AD/LDAP</t>
  </si>
  <si>
    <t xml:space="preserve">Can validate mapping sources, timeouts, redistribution and group policy without confusing authentication with identification.</t>
  </si>
  <si>
    <t xml:space="preserve">Design and troubleshoot certificate trust, TLS decryption and prevention controls.</t>
  </si>
  <si>
    <t>6-8</t>
  </si>
  <si>
    <t xml:space="preserve">PA-VM + TLS endpoints + local CA</t>
  </si>
  <si>
    <t xml:space="preserve">Can explain decryption flow, certificate chain behavior, exceptions, privacy constraints and inspection coverage.</t>
  </si>
  <si>
    <t xml:space="preserve">Deliver resilient site-to-site and remote-access VPN services with identity-aware control.</t>
  </si>
  <si>
    <t xml:space="preserve">Two PA-VMs or PA-VM + peer; future GP clients/IdP</t>
  </si>
  <si>
    <t xml:space="preserve">Can troubleshoot phase 1/2, routing, NAT-T, portal/gateway, authentication and endpoint policy as separate fault domains.</t>
  </si>
  <si>
    <t xml:space="preserve">Operate firewall pairs safely through failures, maintenance and upgrades.</t>
  </si>
  <si>
    <t xml:space="preserve">Two licensed PA-VMs + redundant network peers</t>
  </si>
  <si>
    <t xml:space="preserve">Can predict synchronization and session behavior, execute failover/upgrade runbooks and prove no unintended regression.</t>
  </si>
  <si>
    <t xml:space="preserve">Manage policy, configuration and logs consistently across a firewall fleet.</t>
  </si>
  <si>
    <t>7-9</t>
  </si>
  <si>
    <t xml:space="preserve">Future Panorama VM + two or more PA-VMs</t>
  </si>
  <si>
    <t xml:space="preserve">Can design Device Group/Template hierarchy, perform safe commits, resolve overrides/out-of-sync, and plan scalable logging.</t>
  </si>
  <si>
    <t xml:space="preserve">Develop evidence-first diagnosis across management plane, control plane, data plane and security engines.</t>
  </si>
  <si>
    <t xml:space="preserve">Mixed lab with packet capture and telemetry tools</t>
  </si>
  <si>
    <t xml:space="preserve">Can solve unseen multi-domain faults inside a timebox and produce a concise RCA with prevention and observability actions.</t>
  </si>
  <si>
    <t xml:space="preserve">Treat firewall configuration as testable, versioned infrastructure.</t>
  </si>
  <si>
    <t xml:space="preserve">NGFW Engineer / Architect</t>
  </si>
  <si>
    <t xml:space="preserve">PA-VM + Debian/Python + NetBox/NSO + Git</t>
  </si>
  <si>
    <t xml:space="preserve">Can automate idempotently, validate candidate changes, detect drift and roll back safely.</t>
  </si>
  <si>
    <t xml:space="preserve">Translate PAN-OS mastery into cloud, Kubernetes, SD-WAN, ACI and Zero Trust designs.</t>
  </si>
  <si>
    <t>8-12</t>
  </si>
  <si>
    <t xml:space="preserve">NSP / Network Security Architect</t>
  </si>
  <si>
    <t xml:space="preserve">VM-Series, CN-Series, minikube, ACI design, future cloud services</t>
  </si>
  <si>
    <t xml:space="preserve">Can defend platform choice, scale, failure domain, licensing, logging and operational trade-offs.</t>
  </si>
  <si>
    <t xml:space="preserve">Integrate technologies under ambiguous requirements and injected failures.</t>
  </si>
  <si>
    <t>10-14</t>
  </si>
  <si>
    <t xml:space="preserve">All role-based milestones</t>
  </si>
  <si>
    <t xml:space="preserve">Reusable multi-firewall enterprise topology</t>
  </si>
  <si>
    <t xml:space="preserve">Score at least 7 on every super lab and 8+ on architecture/automation; complete evidence-backed RCAs.</t>
  </si>
  <si>
    <t xml:space="preserve">PALO ALTO EXPERT LAB TRACKER</t>
  </si>
  <si>
    <t xml:space="preserve">Built for a senior network engineer: completion tracks repetitions; mastery requires unseen-fault diagnosis, evidence and design reasoning.</t>
  </si>
  <si>
    <t>No.</t>
  </si>
  <si>
    <t xml:space="preserve">Lab ID</t>
  </si>
  <si>
    <t xml:space="preserve">Lab Title</t>
  </si>
  <si>
    <t>Objective</t>
  </si>
  <si>
    <t xml:space="preserve">Key Technologies</t>
  </si>
  <si>
    <t xml:space="preserve">Recommended Topology</t>
  </si>
  <si>
    <t xml:space="preserve">Primary Image / Platform</t>
  </si>
  <si>
    <t xml:space="preserve">Supporting Images</t>
  </si>
  <si>
    <t>Dependency</t>
  </si>
  <si>
    <t>Feasibility</t>
  </si>
  <si>
    <t>Difficulty</t>
  </si>
  <si>
    <t xml:space="preserve">Est. Hours</t>
  </si>
  <si>
    <t>Prerequisite</t>
  </si>
  <si>
    <t>Status</t>
  </si>
  <si>
    <t xml:space="preserve">Target Reps</t>
  </si>
  <si>
    <t xml:space="preserve">Completed Reps</t>
  </si>
  <si>
    <t>Progress</t>
  </si>
  <si>
    <t xml:space="preserve">Last Practice</t>
  </si>
  <si>
    <t>Verification</t>
  </si>
  <si>
    <t xml:space="preserve">Build / Implement</t>
  </si>
  <si>
    <t xml:space="preserve">Verify / Expected State</t>
  </si>
  <si>
    <t xml:space="preserve">Break / Failure Injection</t>
  </si>
  <si>
    <t xml:space="preserve">Diagnose / Hypothesis</t>
  </si>
  <si>
    <t xml:space="preserve">Restore / Acceptance</t>
  </si>
  <si>
    <t xml:space="preserve">Design / Trade-off</t>
  </si>
  <si>
    <t xml:space="preserve">Evidence / RCA Link</t>
  </si>
  <si>
    <t xml:space="preserve">Mastery Score</t>
  </si>
  <si>
    <t xml:space="preserve">Mastery State</t>
  </si>
  <si>
    <t xml:space="preserve">Certification Map</t>
  </si>
  <si>
    <t>FND-101</t>
  </si>
  <si>
    <t xml:space="preserve">Management Plane Baseline</t>
  </si>
  <si>
    <t xml:space="preserve">Build hardened management access, hostname, DNS, NTP, timezone, banners and service routes.</t>
  </si>
  <si>
    <t xml:space="preserve">Management interface; service routes; NTP; DNS; SSH; permitted IPs</t>
  </si>
  <si>
    <t xml:space="preserve">1 PA-VM + Debian services</t>
  </si>
  <si>
    <t>akhmadkun/palo-pa-vm:10.1.0</t>
  </si>
  <si>
    <t xml:space="preserve">debian:bookworm-slim; network-multitool</t>
  </si>
  <si>
    <t xml:space="preserve">Licensed PA-VM</t>
  </si>
  <si>
    <t>FULL</t>
  </si>
  <si>
    <t>Intermediate</t>
  </si>
  <si>
    <t xml:space="preserve">Not Started</t>
  </si>
  <si>
    <t xml:space="preserve">Not Tested</t>
  </si>
  <si>
    <t xml:space="preserve">Implement management plane baseline from requirements and a clean baseline.</t>
  </si>
  <si>
    <t xml:space="preserve">Before testing, document expected control-plane, session, policy and packet-forwarding state for: Management interface; service routes; NTP; DNS; SSH; permitted IPs.</t>
  </si>
  <si>
    <t xml:space="preserve">Inject 2-4 realistic faults involving Management interface; service routes; NTP; DNS; SSH; permitted IPs; at least one must create a misleading symptom.</t>
  </si>
  <si>
    <t xml:space="preserve">Before CLI, rank 3-5 hypotheses. Prove or eliminate each with the minimum commands, logs and captures.</t>
  </si>
  <si>
    <t xml:space="preserve">Return the service to the intended state with minimum-impact changes and prove no collateral regression.</t>
  </si>
  <si>
    <t xml:space="preserve">Defend the design choice for Management Plane Baseline: scale, failure domain, security effect, operations, licensing and rollback.</t>
  </si>
  <si>
    <t>FND-102</t>
  </si>
  <si>
    <t xml:space="preserve">Candidate Config, Commit and Rollback</t>
  </si>
  <si>
    <t xml:space="preserve">Practice candidate/running configuration, commit validation, named snapshots, load/merge and rollback.</t>
  </si>
  <si>
    <t xml:space="preserve">Candidate config; commit; validation; config versions; rollback</t>
  </si>
  <si>
    <t xml:space="preserve">1 PA-VM</t>
  </si>
  <si>
    <t xml:space="preserve">Git or local archive</t>
  </si>
  <si>
    <t xml:space="preserve">Implement candidate config, commit and rollback from requirements and a clean baseline.</t>
  </si>
  <si>
    <t xml:space="preserve">Before testing, document expected control-plane, session, policy and packet-forwarding state for: Candidate config; commit; validation; config versions; rollback.</t>
  </si>
  <si>
    <t xml:space="preserve">Inject 2-4 realistic faults involving Candidate config; commit; validation; config versions; rollback; at least one must create a misleading symptom.</t>
  </si>
  <si>
    <t xml:space="preserve">Defend the design choice for Candidate Config, Commit and Rollback: scale, failure domain, security effect, operations, licensing and rollback.</t>
  </si>
  <si>
    <t>FND-103</t>
  </si>
  <si>
    <t xml:space="preserve">Administrative AAA and RBAC</t>
  </si>
  <si>
    <t xml:space="preserve">Integrate RADIUS/TACACS+, local fallback, authentication profiles and least-privilege admin roles.</t>
  </si>
  <si>
    <t xml:space="preserve">RADIUS; TACACS+; auth sequence; admin roles; fallback</t>
  </si>
  <si>
    <t xml:space="preserve">1 PA-VM + AAA containers</t>
  </si>
  <si>
    <t xml:space="preserve">akhmadkun/myradius:latest; akhmadkun/mytacacs:latest</t>
  </si>
  <si>
    <t xml:space="preserve">AAA container configuration</t>
  </si>
  <si>
    <t>Advanced</t>
  </si>
  <si>
    <t xml:space="preserve">Implement administrative aaa and rbac from requirements and a clean baseline.</t>
  </si>
  <si>
    <t xml:space="preserve">Before testing, document expected control-plane, session, policy and packet-forwarding state for: RADIUS; TACACS+; auth sequence; admin roles; fallback.</t>
  </si>
  <si>
    <t xml:space="preserve">Inject 2-4 realistic faults involving RADIUS; TACACS+; auth sequence; admin roles; fallback; at least one must create a misleading symptom.</t>
  </si>
  <si>
    <t xml:space="preserve">Defend the design choice for Administrative AAA and RBAC: scale, failure domain, security effect, operations, licensing and rollback.</t>
  </si>
  <si>
    <t>FND-104</t>
  </si>
  <si>
    <t xml:space="preserve">Certificates, Master Key and Backups</t>
  </si>
  <si>
    <t xml:space="preserve">Create a certificate hierarchy, secure secrets, export backups and prove restore readiness.</t>
  </si>
  <si>
    <t xml:space="preserve">CA; certificates; master key; config export; device-state backup</t>
  </si>
  <si>
    <t xml:space="preserve">1 PA-VM + Linux CA</t>
  </si>
  <si>
    <t>debian:bookworm-slim</t>
  </si>
  <si>
    <t xml:space="preserve">Implement certificates, master key and backups from requirements and a clean baseline.</t>
  </si>
  <si>
    <t xml:space="preserve">Before testing, document expected control-plane, session, policy and packet-forwarding state for: CA; certificates; master key; config export; device-state backup.</t>
  </si>
  <si>
    <t xml:space="preserve">Inject 2-4 realistic faults involving CA; certificates; master key; config export; device-state backup; at least one must create a misleading symptom.</t>
  </si>
  <si>
    <t xml:space="preserve">Defend the design choice for Certificates, Master Key and Backups: scale, failure domain, security effect, operations, licensing and rollback.</t>
  </si>
  <si>
    <t>FND-105</t>
  </si>
  <si>
    <t xml:space="preserve">Software and Content Lifecycle</t>
  </si>
  <si>
    <t xml:space="preserve">Plan upgrades, dynamic updates, compatibility checks, backups and rollback evidence.</t>
  </si>
  <si>
    <t xml:space="preserve">PAN-OS upgrade path; content updates; licenses; release notes; rollback</t>
  </si>
  <si>
    <t xml:space="preserve">1 PA-VM; optional second version</t>
  </si>
  <si>
    <t xml:space="preserve">Future newer PA-VM image</t>
  </si>
  <si>
    <t xml:space="preserve">Newer PAN-OS image for real upgrade</t>
  </si>
  <si>
    <t>CONDITIONAL</t>
  </si>
  <si>
    <t xml:space="preserve">FND-102; FND-104</t>
  </si>
  <si>
    <t xml:space="preserve">Implement software and content lifecycle from requirements and a clean baseline.</t>
  </si>
  <si>
    <t xml:space="preserve">Before testing, document expected control-plane, session, policy and packet-forwarding state for: PAN-OS upgrade path; content updates; licenses; release notes; rollback.</t>
  </si>
  <si>
    <t xml:space="preserve">Inject 2-4 realistic faults involving PAN-OS upgrade path; content updates; licenses; release notes; rollback; at least one must create a misleading symptom.</t>
  </si>
  <si>
    <t xml:space="preserve">Defend the design choice for Software and Content Lifecycle: scale, failure domain, security effect, operations, licensing and rollback.</t>
  </si>
  <si>
    <t>NET-201</t>
  </si>
  <si>
    <t xml:space="preserve">Interface Modes and Zones</t>
  </si>
  <si>
    <t xml:space="preserve">Compare Layer 3, Layer 2, virtual wire, TAP, loopback and tunnel interfaces with correct zones.</t>
  </si>
  <si>
    <t xml:space="preserve">Interface modes; zones; zone protection; forwarding context</t>
  </si>
  <si>
    <t xml:space="preserve">1 PA-VM + 4 endpoints</t>
  </si>
  <si>
    <t xml:space="preserve">network-multitool; alpine</t>
  </si>
  <si>
    <t xml:space="preserve">Implement interface modes and zones from requirements and a clean baseline.</t>
  </si>
  <si>
    <t xml:space="preserve">Before testing, document expected control-plane, session, policy and packet-forwarding state for: Interface modes; zones; zone protection; forwarding context.</t>
  </si>
  <si>
    <t xml:space="preserve">Inject 2-4 realistic faults involving Interface modes; zones; zone protection; forwarding context; at least one must create a misleading symptom.</t>
  </si>
  <si>
    <t xml:space="preserve">Defend the design choice for Interface Modes and Zones: scale, failure domain, security effect, operations, licensing and rollback.</t>
  </si>
  <si>
    <t>NET-202</t>
  </si>
  <si>
    <t xml:space="preserve">VLANs, Subinterfaces and Virtual Routers</t>
  </si>
  <si>
    <t xml:space="preserve">Build routed subinterfaces, VLAN tags, virtual routers and clean zone boundaries.</t>
  </si>
  <si>
    <t xml:space="preserve">802.1Q; subinterfaces; virtual routers; connected routes; zones</t>
  </si>
  <si>
    <t xml:space="preserve">1 PA-VM + IOL/vJunos switch + endpoints</t>
  </si>
  <si>
    <t xml:space="preserve">cisco-iol-l2; vJunos-switch</t>
  </si>
  <si>
    <t xml:space="preserve">Implement vlans, subinterfaces and virtual routers from requirements and a clean baseline.</t>
  </si>
  <si>
    <t xml:space="preserve">Before testing, document expected control-plane, session, policy and packet-forwarding state for: 802.1Q; subinterfaces; virtual routers; connected routes; zones.</t>
  </si>
  <si>
    <t xml:space="preserve">Inject 2-4 realistic faults involving 802.1Q; subinterfaces; virtual routers; connected routes; zones; at least one must create a misleading symptom.</t>
  </si>
  <si>
    <t xml:space="preserve">Defend the design choice for VLANs, Subinterfaces and Virtual Routers: scale, failure domain, security effect, operations, licensing and rollback.</t>
  </si>
  <si>
    <t>NET-203</t>
  </si>
  <si>
    <t xml:space="preserve">Static Routing, ECMP and PBF</t>
  </si>
  <si>
    <t xml:space="preserve">Compare route lookup with Policy Based Forwarding, symmetric return and path monitoring.</t>
  </si>
  <si>
    <t xml:space="preserve">Static routes; ECMP; PBF; path monitoring; symmetric return</t>
  </si>
  <si>
    <t xml:space="preserve">1 PA-VM + 2 ISP routers + clients</t>
  </si>
  <si>
    <t xml:space="preserve">VyOS; cSRX; XRd</t>
  </si>
  <si>
    <t xml:space="preserve">Implement static routing, ecmp and pbf from requirements and a clean baseline.</t>
  </si>
  <si>
    <t xml:space="preserve">Before testing, document expected control-plane, session, policy and packet-forwarding state for: Static routes; ECMP; PBF; path monitoring; symmetric return.</t>
  </si>
  <si>
    <t xml:space="preserve">Inject 2-4 realistic faults involving Static routes; ECMP; PBF; path monitoring; symmetric return; at least one must create a misleading symptom.</t>
  </si>
  <si>
    <t xml:space="preserve">Defend the design choice for Static Routing, ECMP and PBF: scale, failure domain, security effect, operations, licensing and rollback.</t>
  </si>
  <si>
    <t>NET-204</t>
  </si>
  <si>
    <t xml:space="preserve">OSPF and BFD Edge Routing</t>
  </si>
  <si>
    <t xml:space="preserve">Form adjacencies, control advertisements, secure neighbors and troubleshoot route installation.</t>
  </si>
  <si>
    <t xml:space="preserve">OSPF; authentication; redistribution; BFD; route filtering</t>
  </si>
  <si>
    <t xml:space="preserve">1 PA-VM + 3 routing peers</t>
  </si>
  <si>
    <t xml:space="preserve">VyOS; cSRX; vJunos-router</t>
  </si>
  <si>
    <t xml:space="preserve">Implement ospf and bfd edge routing from requirements and a clean baseline.</t>
  </si>
  <si>
    <t xml:space="preserve">Before testing, document expected control-plane, session, policy and packet-forwarding state for: OSPF; authentication; redistribution; BFD; route filtering.</t>
  </si>
  <si>
    <t xml:space="preserve">Inject 2-4 realistic faults involving OSPF; authentication; redistribution; BFD; route filtering; at least one must create a misleading symptom.</t>
  </si>
  <si>
    <t xml:space="preserve">Defend the design choice for OSPF and BFD Edge Routing: scale, failure domain, security effect, operations, licensing and rollback.</t>
  </si>
  <si>
    <t>NET-205</t>
  </si>
  <si>
    <t xml:space="preserve">BGP and Routing Policy</t>
  </si>
  <si>
    <t xml:space="preserve">Build dual-provider BGP, filters, attributes, redistribution and failure convergence.</t>
  </si>
  <si>
    <t xml:space="preserve">eBGP; import/export; local preference; MED; AS path; redistribution</t>
  </si>
  <si>
    <t xml:space="preserve">1 PA-VM + 3 BGP peers</t>
  </si>
  <si>
    <t xml:space="preserve">cRPD; XRd; VyOS</t>
  </si>
  <si>
    <t>Expert</t>
  </si>
  <si>
    <t xml:space="preserve">Implement bgp and routing policy from requirements and a clean baseline.</t>
  </si>
  <si>
    <t xml:space="preserve">Before testing, document expected control-plane, session, policy and packet-forwarding state for: eBGP; import/export; local preference; MED; AS path; redistribution.</t>
  </si>
  <si>
    <t xml:space="preserve">Inject 2-4 realistic faults involving eBGP; import/export; local preference; MED; AS path; redistribution; at least one must create a misleading symptom.</t>
  </si>
  <si>
    <t xml:space="preserve">Defend the design choice for BGP and Routing Policy: scale, failure domain, security effect, operations, licensing and rollback.</t>
  </si>
  <si>
    <t>NET-206</t>
  </si>
  <si>
    <t xml:space="preserve">Multicast and Advanced Forwarding</t>
  </si>
  <si>
    <t xml:space="preserve">Validate multicast forwarding and version-supported routing edge cases.</t>
  </si>
  <si>
    <t xml:space="preserve">PIM; IGMP; multicast policy; route lookup; session behavior</t>
  </si>
  <si>
    <t xml:space="preserve">1 PA-VM + multicast source/receiver + router</t>
  </si>
  <si>
    <t xml:space="preserve">vJunos-router; network-multitool</t>
  </si>
  <si>
    <t xml:space="preserve">Feature/license validation</t>
  </si>
  <si>
    <t xml:space="preserve">Implement multicast and advanced forwarding from requirements and a clean baseline.</t>
  </si>
  <si>
    <t xml:space="preserve">Before testing, document expected control-plane, session, policy and packet-forwarding state for: PIM; IGMP; multicast policy; route lookup; session behavior.</t>
  </si>
  <si>
    <t xml:space="preserve">Inject 2-4 realistic faults involving PIM; IGMP; multicast policy; route lookup; session behavior; at least one must create a misleading symptom.</t>
  </si>
  <si>
    <t xml:space="preserve">Defend the design choice for Multicast and Advanced Forwarding: scale, failure domain, security effect, operations, licensing and rollback.</t>
  </si>
  <si>
    <t>NSP</t>
  </si>
  <si>
    <t>NET-207</t>
  </si>
  <si>
    <t xml:space="preserve">DoS and Zone Protection</t>
  </si>
  <si>
    <t xml:space="preserve">Build reconnaissance and flood defenses and correlate counters with packet behavior.</t>
  </si>
  <si>
    <t xml:space="preserve">Zone Protection; DoS policy; SYN cookies; reconnaissance; rate thresholds</t>
  </si>
  <si>
    <t xml:space="preserve">1 PA-VM + traffic generators</t>
  </si>
  <si>
    <t xml:space="preserve">network-multitool; packetflix; Wireshark VNC</t>
  </si>
  <si>
    <t xml:space="preserve">Traffic generation constraints</t>
  </si>
  <si>
    <t>PARTIAL</t>
  </si>
  <si>
    <t xml:space="preserve">Implement dos and zone protection from requirements and a clean baseline.</t>
  </si>
  <si>
    <t xml:space="preserve">Before testing, document expected control-plane, session, policy and packet-forwarding state for: Zone Protection; DoS policy; SYN cookies; reconnaissance; rate thresholds.</t>
  </si>
  <si>
    <t xml:space="preserve">Inject 2-4 realistic faults involving Zone Protection; DoS policy; SYN cookies; reconnaissance; rate thresholds; at least one must create a misleading symptom.</t>
  </si>
  <si>
    <t xml:space="preserve">Defend the design choice for DoS and Zone Protection: scale, failure domain, security effect, operations, licensing and rollback.</t>
  </si>
  <si>
    <t>NET-208</t>
  </si>
  <si>
    <t xml:space="preserve">Multi-VSYS and Segmentation Design</t>
  </si>
  <si>
    <t xml:space="preserve">Create multi-tenant segmentation and compare shared-gateway/inter-VSYS design trade-offs.</t>
  </si>
  <si>
    <t xml:space="preserve">Virtual systems; inter-VSYS; shared gateway; admin boundaries</t>
  </si>
  <si>
    <t xml:space="preserve">Optional second PA-VM</t>
  </si>
  <si>
    <t xml:space="preserve">Multi-VSYS license/support</t>
  </si>
  <si>
    <t xml:space="preserve">NET-202; POL-301</t>
  </si>
  <si>
    <t xml:space="preserve">Implement multi-vsys and segmentation design from requirements and a clean baseline.</t>
  </si>
  <si>
    <t xml:space="preserve">Before testing, document expected control-plane, session, policy and packet-forwarding state for: Virtual systems; inter-VSYS; shared gateway; admin boundaries.</t>
  </si>
  <si>
    <t xml:space="preserve">Inject 2-4 realistic faults involving Virtual systems; inter-VSYS; shared gateway; admin boundaries; at least one must create a misleading symptom.</t>
  </si>
  <si>
    <t xml:space="preserve">Defend the design choice for Multi-VSYS and Segmentation Design: scale, failure domain, security effect, operations, licensing and rollback.</t>
  </si>
  <si>
    <t xml:space="preserve">NSP / Architect</t>
  </si>
  <si>
    <t>POL-301</t>
  </si>
  <si>
    <t xml:space="preserve">Security Policy Evaluation</t>
  </si>
  <si>
    <t xml:space="preserve">Master rule order, zones, addresses, users, applications, services, actions, tags and logging.</t>
  </si>
  <si>
    <t xml:space="preserve">Rulebase evaluation; objects; tags; logging; intrazone/interzone defaults</t>
  </si>
  <si>
    <t xml:space="preserve">network-multitool; nginx</t>
  </si>
  <si>
    <t xml:space="preserve">Implement security policy evaluation from requirements and a clean baseline.</t>
  </si>
  <si>
    <t xml:space="preserve">Before testing, document expected control-plane, session, policy and packet-forwarding state for: Rulebase evaluation; objects; tags; logging; intrazone/interzone defaults.</t>
  </si>
  <si>
    <t xml:space="preserve">Inject 2-4 realistic faults involving Rulebase evaluation; objects; tags; logging; intrazone/interzone defaults; at least one must create a misleading symptom.</t>
  </si>
  <si>
    <t xml:space="preserve">Defend the design choice for Security Policy Evaluation: scale, failure domain, security effect, operations, licensing and rollback.</t>
  </si>
  <si>
    <t>POL-302</t>
  </si>
  <si>
    <t xml:space="preserve">App-ID and application-default</t>
  </si>
  <si>
    <t xml:space="preserve">Observe application identification stages, dependencies and safe application-default enforcement.</t>
  </si>
  <si>
    <t xml:space="preserve">App-ID; application-default; dependencies; incomplete/unknown; session reclassification</t>
  </si>
  <si>
    <t xml:space="preserve">1 PA-VM + app endpoints</t>
  </si>
  <si>
    <t xml:space="preserve">nginx; Debian; packet capture</t>
  </si>
  <si>
    <t xml:space="preserve">Content updates recommended</t>
  </si>
  <si>
    <t xml:space="preserve">Implement app-id and application-default from requirements and a clean baseline.</t>
  </si>
  <si>
    <t xml:space="preserve">Before testing, document expected control-plane, session, policy and packet-forwarding state for: App-ID; application-default; dependencies; incomplete/unknown; session reclassification.</t>
  </si>
  <si>
    <t xml:space="preserve">Inject 2-4 realistic faults involving App-ID; application-default; dependencies; incomplete/unknown; session reclassification; at least one must create a misleading symptom.</t>
  </si>
  <si>
    <t xml:space="preserve">Defend the design choice for App-ID and application-default: scale, failure domain, security effect, operations, licensing and rollback.</t>
  </si>
  <si>
    <t>POL-303</t>
  </si>
  <si>
    <t xml:space="preserve">Custom Applications and Overrides</t>
  </si>
  <si>
    <t xml:space="preserve">Create custom signatures and use Application Override only when justified.</t>
  </si>
  <si>
    <t xml:space="preserve">Custom App-ID; signatures; context; scope; Application Override</t>
  </si>
  <si>
    <t xml:space="preserve">1 PA-VM + custom TCP/HTTP apps</t>
  </si>
  <si>
    <t xml:space="preserve">Debian/Python; nginx</t>
  </si>
  <si>
    <t xml:space="preserve">Traffic samples</t>
  </si>
  <si>
    <t xml:space="preserve">Implement custom applications and overrides from requirements and a clean baseline.</t>
  </si>
  <si>
    <t xml:space="preserve">Before testing, document expected control-plane, session, policy and packet-forwarding state for: Custom App-ID; signatures; context; scope; Application Override.</t>
  </si>
  <si>
    <t xml:space="preserve">Inject 2-4 realistic faults involving Custom App-ID; signatures; context; scope; Application Override; at least one must create a misleading symptom.</t>
  </si>
  <si>
    <t xml:space="preserve">Defend the design choice for Custom Applications and Overrides: scale, failure domain, security effect, operations, licensing and rollback.</t>
  </si>
  <si>
    <t>POL-304</t>
  </si>
  <si>
    <t xml:space="preserve">URL Filtering Policy</t>
  </si>
  <si>
    <t xml:space="preserve">Build category-based controls, credential protection and safe exceptions.</t>
  </si>
  <si>
    <t xml:space="preserve">URL categories; custom categories; actions; credential detection; logging</t>
  </si>
  <si>
    <t xml:space="preserve">1 PA-VM + browsing client</t>
  </si>
  <si>
    <t xml:space="preserve">Debian; nginx; DNS server</t>
  </si>
  <si>
    <t xml:space="preserve">URL Filtering subscription for full coverage</t>
  </si>
  <si>
    <t xml:space="preserve">Implement url filtering policy from requirements and a clean baseline.</t>
  </si>
  <si>
    <t xml:space="preserve">Before testing, document expected control-plane, session, policy and packet-forwarding state for: URL categories; custom categories; actions; credential detection; logging.</t>
  </si>
  <si>
    <t xml:space="preserve">Inject 2-4 realistic faults involving URL categories; custom categories; actions; credential detection; logging; at least one must create a misleading symptom.</t>
  </si>
  <si>
    <t xml:space="preserve">Defend the design choice for URL Filtering Policy: scale, failure domain, security effect, operations, licensing and rollback.</t>
  </si>
  <si>
    <t>POL-305</t>
  </si>
  <si>
    <t xml:space="preserve">Threat Prevention Profiles</t>
  </si>
  <si>
    <t xml:space="preserve">Apply Antivirus, Anti-Spyware, Vulnerability Protection and DNS controls using safe test traffic.</t>
  </si>
  <si>
    <t xml:space="preserve">AV; Anti-Spyware; Vulnerability; DNS Security; actions; exceptions</t>
  </si>
  <si>
    <t xml:space="preserve">1 PA-VM + safe test endpoints</t>
  </si>
  <si>
    <t xml:space="preserve">Debian; nginx; controlled pcaps</t>
  </si>
  <si>
    <t xml:space="preserve">Threat subscriptions/content</t>
  </si>
  <si>
    <t xml:space="preserve">Implement threat prevention profiles from requirements and a clean baseline.</t>
  </si>
  <si>
    <t xml:space="preserve">Before testing, document expected control-plane, session, policy and packet-forwarding state for: AV; Anti-Spyware; Vulnerability; DNS Security; actions; exceptions.</t>
  </si>
  <si>
    <t xml:space="preserve">Inject 2-4 realistic faults involving AV; Anti-Spyware; Vulnerability; DNS Security; actions; exceptions; at least one must create a misleading symptom.</t>
  </si>
  <si>
    <t xml:space="preserve">Defend the design choice for Threat Prevention Profiles: scale, failure domain, security effect, operations, licensing and rollback.</t>
  </si>
  <si>
    <t>POL-306</t>
  </si>
  <si>
    <t xml:space="preserve">File Blocking, WildFire and Data Controls</t>
  </si>
  <si>
    <t xml:space="preserve">Control file types, submissions and sensitive data patterns while preserving business flows.</t>
  </si>
  <si>
    <t xml:space="preserve">File Blocking; WildFire; Data Filtering/DLP; log forwarding</t>
  </si>
  <si>
    <t xml:space="preserve">1 PA-VM + file server/client</t>
  </si>
  <si>
    <t xml:space="preserve">nginx; Debian</t>
  </si>
  <si>
    <t xml:space="preserve">WildFire/DLP subscriptions for full behavior</t>
  </si>
  <si>
    <t xml:space="preserve">Implement file blocking, wildfire and data controls from requirements and a clean baseline.</t>
  </si>
  <si>
    <t xml:space="preserve">Before testing, document expected control-plane, session, policy and packet-forwarding state for: File Blocking; WildFire; Data Filtering/DLP; log forwarding.</t>
  </si>
  <si>
    <t xml:space="preserve">Inject 2-4 realistic faults involving File Blocking; WildFire; Data Filtering/DLP; log forwarding; at least one must create a misleading symptom.</t>
  </si>
  <si>
    <t xml:space="preserve">Defend the design choice for File Blocking, WildFire and Data Controls: scale, failure domain, security effect, operations, licensing and rollback.</t>
  </si>
  <si>
    <t>POL-307</t>
  </si>
  <si>
    <t xml:space="preserve">Profile Groups and Logging Architecture</t>
  </si>
  <si>
    <t xml:space="preserve">Standardize security profiles, log forwarding, tags and operational ownership.</t>
  </si>
  <si>
    <t xml:space="preserve">Profile groups; log settings; syslog; SNMP traps; email; tagging</t>
  </si>
  <si>
    <t xml:space="preserve">1 PA-VM + logging services</t>
  </si>
  <si>
    <t xml:space="preserve">Debian syslog; SNMP/NMS</t>
  </si>
  <si>
    <t xml:space="preserve">External log receiver</t>
  </si>
  <si>
    <t xml:space="preserve">Implement profile groups and logging architecture from requirements and a clean baseline.</t>
  </si>
  <si>
    <t xml:space="preserve">Before testing, document expected control-plane, session, policy and packet-forwarding state for: Profile groups; log settings; syslog; SNMP traps; email; tagging.</t>
  </si>
  <si>
    <t xml:space="preserve">Inject 2-4 realistic faults involving Profile groups; log settings; syslog; SNMP traps; email; tagging; at least one must create a misleading symptom.</t>
  </si>
  <si>
    <t xml:space="preserve">Defend the design choice for Profile Groups and Logging Architecture: scale, failure domain, security effect, operations, licensing and rollback.</t>
  </si>
  <si>
    <t>POL-308</t>
  </si>
  <si>
    <t xml:space="preserve">Port-to-App-ID Migration</t>
  </si>
  <si>
    <t xml:space="preserve">Analyze observed traffic, stage App-ID rules, handle dependencies and remove temporary port rules safely.</t>
  </si>
  <si>
    <t xml:space="preserve">Policy Optimizer concepts; App-ID adoption; staged migration; rollback</t>
  </si>
  <si>
    <t xml:space="preserve">1 PA-VM + mixed application clients</t>
  </si>
  <si>
    <t xml:space="preserve">nginx; Debian; traffic generators</t>
  </si>
  <si>
    <t xml:space="preserve">Representative traffic</t>
  </si>
  <si>
    <t xml:space="preserve">POL-302; POL-307</t>
  </si>
  <si>
    <t xml:space="preserve">Implement port-to-app-id migration from requirements and a clean baseline.</t>
  </si>
  <si>
    <t xml:space="preserve">Before testing, document expected control-plane, session, policy and packet-forwarding state for: Policy Optimizer concepts; App-ID adoption; staged migration; rollback.</t>
  </si>
  <si>
    <t xml:space="preserve">Inject 2-4 realistic faults involving Policy Optimizer concepts; App-ID adoption; staged migration; rollback; at least one must create a misleading symptom.</t>
  </si>
  <si>
    <t xml:space="preserve">Defend the design choice for Port-to-App-ID Migration: scale, failure domain, security effect, operations, licensing and rollback.</t>
  </si>
  <si>
    <t>NAT-401</t>
  </si>
  <si>
    <t xml:space="preserve">Source NAT Patterns</t>
  </si>
  <si>
    <t xml:space="preserve">Implement DIPP, Dynamic IP, Static IP and interface-address SNAT with capacity awareness.</t>
  </si>
  <si>
    <t xml:space="preserve">SNAT; DIPP; pools; oversubscription; session translation</t>
  </si>
  <si>
    <t xml:space="preserve">1 PA-VM + inside/outside clients</t>
  </si>
  <si>
    <t xml:space="preserve">network-multitool; VyOS</t>
  </si>
  <si>
    <t xml:space="preserve">POL-301; NET-203</t>
  </si>
  <si>
    <t xml:space="preserve">Implement source nat patterns from requirements and a clean baseline.</t>
  </si>
  <si>
    <t xml:space="preserve">Before testing, document expected control-plane, session, policy and packet-forwarding state for: SNAT; DIPP; pools; oversubscription; session translation.</t>
  </si>
  <si>
    <t xml:space="preserve">Inject 2-4 realistic faults involving SNAT; DIPP; pools; oversubscription; session translation; at least one must create a misleading symptom.</t>
  </si>
  <si>
    <t xml:space="preserve">Defend the design choice for Source NAT Patterns: scale, failure domain, security effect, operations, licensing and rollback.</t>
  </si>
  <si>
    <t>NAT-402</t>
  </si>
  <si>
    <t xml:space="preserve">Destination NAT and U-Turn NAT</t>
  </si>
  <si>
    <t xml:space="preserve">Publish DMZ services, build hairpin access and validate security policy matching.</t>
  </si>
  <si>
    <t xml:space="preserve">DNAT; U-turn; bidirectional NAT; service translation; proxy ARP</t>
  </si>
  <si>
    <t xml:space="preserve">1 PA-VM + client + DMZ web server</t>
  </si>
  <si>
    <t xml:space="preserve">nginx; network-multitool</t>
  </si>
  <si>
    <t xml:space="preserve">Implement destination nat and u-turn nat from requirements and a clean baseline.</t>
  </si>
  <si>
    <t xml:space="preserve">Before testing, document expected control-plane, session, policy and packet-forwarding state for: DNAT; U-turn; bidirectional NAT; service translation; proxy ARP.</t>
  </si>
  <si>
    <t xml:space="preserve">Inject 2-4 realistic faults involving DNAT; U-turn; bidirectional NAT; service translation; proxy ARP; at least one must create a misleading symptom.</t>
  </si>
  <si>
    <t xml:space="preserve">Defend the design choice for Destination NAT and U-Turn NAT: scale, failure domain, security effect, operations, licensing and rollback.</t>
  </si>
  <si>
    <t>NAT-403</t>
  </si>
  <si>
    <t xml:space="preserve">NAT Rule Order and Tuple Reasoning</t>
  </si>
  <si>
    <t xml:space="preserve">Solve overlapping NAT using original and translated tuple analysis.</t>
  </si>
  <si>
    <t xml:space="preserve">NAT precedence; original packet; translated packet; zone calculation; policy lookup</t>
  </si>
  <si>
    <t xml:space="preserve">1 PA-VM + overlapping test flows</t>
  </si>
  <si>
    <t xml:space="preserve">network-multitool; Wireshark VNC</t>
  </si>
  <si>
    <t xml:space="preserve">Implement nat rule order and tuple reasoning from requirements and a clean baseline.</t>
  </si>
  <si>
    <t xml:space="preserve">Before testing, document expected control-plane, session, policy and packet-forwarding state for: NAT precedence; original packet; translated packet; zone calculation; policy lookup.</t>
  </si>
  <si>
    <t xml:space="preserve">Inject 2-4 realistic faults involving NAT precedence; original packet; translated packet; zone calculation; policy lookup; at least one must create a misleading symptom.</t>
  </si>
  <si>
    <t xml:space="preserve">Defend the design choice for NAT Rule Order and Tuple Reasoning: scale, failure domain, security effect, operations, licensing and rollback.</t>
  </si>
  <si>
    <t>NAT-404</t>
  </si>
  <si>
    <t xml:space="preserve">IPv6 Translation and Dual Stack</t>
  </si>
  <si>
    <t xml:space="preserve">Test supported NAT64/NPTv6 or document version limitations while preserving dual-stack policy.</t>
  </si>
  <si>
    <t xml:space="preserve">NAT64; DNS64; NPTv6; IPv6 policy; dual stack</t>
  </si>
  <si>
    <t xml:space="preserve">1 PA-VM + IPv4/IPv6 endpoints</t>
  </si>
  <si>
    <t xml:space="preserve">vJunos-router; Debian</t>
  </si>
  <si>
    <t xml:space="preserve">Feature/version validation</t>
  </si>
  <si>
    <t xml:space="preserve">NET-202; NAT-403</t>
  </si>
  <si>
    <t xml:space="preserve">Implement ipv6 translation and dual stack from requirements and a clean baseline.</t>
  </si>
  <si>
    <t xml:space="preserve">Before testing, document expected control-plane, session, policy and packet-forwarding state for: NAT64; DNS64; NPTv6; IPv6 policy; dual stack.</t>
  </si>
  <si>
    <t xml:space="preserve">Inject 2-4 realistic faults involving NAT64; DNS64; NPTv6; IPv6 policy; dual stack; at least one must create a misleading symptom.</t>
  </si>
  <si>
    <t xml:space="preserve">Defend the design choice for IPv6 Translation and Dual Stack: scale, failure domain, security effect, operations, licensing and rollback.</t>
  </si>
  <si>
    <t>NAT-405</t>
  </si>
  <si>
    <t xml:space="preserve">NAT Troubleshooting Challenge</t>
  </si>
  <si>
    <t xml:space="preserve">Diagnose policy-vs-NAT confusion, route changes, proxy ARP, exhaustion and asymmetric sessions.</t>
  </si>
  <si>
    <t xml:space="preserve">Session browser; NAT rules; proxy ARP; counters; packet capture</t>
  </si>
  <si>
    <t xml:space="preserve">1 PA-VM + 5 endpoints</t>
  </si>
  <si>
    <t xml:space="preserve">network-multitool; packetflix</t>
  </si>
  <si>
    <t xml:space="preserve">Fault injection file</t>
  </si>
  <si>
    <t xml:space="preserve">NAT-401 to NAT-404</t>
  </si>
  <si>
    <t xml:space="preserve">Implement nat troubleshooting challenge from requirements and a clean baseline.</t>
  </si>
  <si>
    <t xml:space="preserve">Before testing, document expected control-plane, session, policy and packet-forwarding state for: Session browser; NAT rules; proxy ARP; counters; packet capture.</t>
  </si>
  <si>
    <t xml:space="preserve">Inject 2-4 realistic faults involving Session browser; NAT rules; proxy ARP; counters; packet capture; at least one must create a misleading symptom.</t>
  </si>
  <si>
    <t xml:space="preserve">Defend the design choice for NAT Troubleshooting Challenge: scale, failure domain, security effect, operations, licensing and rollback.</t>
  </si>
  <si>
    <t>ID-501</t>
  </si>
  <si>
    <t xml:space="preserve">User-ID Mapping Sources</t>
  </si>
  <si>
    <t xml:space="preserve">Collect and validate IP-to-user mappings and design trust boundaries.</t>
  </si>
  <si>
    <t xml:space="preserve">User-ID; server monitoring; syslog mapping; redistribution; timeouts</t>
  </si>
  <si>
    <t xml:space="preserve">1 PA-VM + identity/log sources</t>
  </si>
  <si>
    <t xml:space="preserve">Debian syslog; future Windows Server</t>
  </si>
  <si>
    <t xml:space="preserve">Windows/AD for full coverage</t>
  </si>
  <si>
    <t xml:space="preserve">FND-103; POL-301</t>
  </si>
  <si>
    <t xml:space="preserve">Implement user-id mapping sources from requirements and a clean baseline.</t>
  </si>
  <si>
    <t xml:space="preserve">Before testing, document expected control-plane, session, policy and packet-forwarding state for: User-ID; server monitoring; syslog mapping; redistribution; timeouts.</t>
  </si>
  <si>
    <t xml:space="preserve">Inject 2-4 realistic faults involving User-ID; server monitoring; syslog mapping; redistribution; timeouts; at least one must create a misleading symptom.</t>
  </si>
  <si>
    <t xml:space="preserve">Defend the design choice for User-ID Mapping Sources: scale, failure domain, security effect, operations, licensing and rollback.</t>
  </si>
  <si>
    <t>ID-502</t>
  </si>
  <si>
    <t xml:space="preserve">LDAP Group Mapping</t>
  </si>
  <si>
    <t xml:space="preserve">Map directory groups, troubleshoot membership and create group-based policy.</t>
  </si>
  <si>
    <t xml:space="preserve">LDAP; group mapping; include lists; nested groups; policy</t>
  </si>
  <si>
    <t xml:space="preserve">1 PA-VM + LDAP/AD</t>
  </si>
  <si>
    <t xml:space="preserve">Future Windows Server or OpenLDAP</t>
  </si>
  <si>
    <t xml:space="preserve">Directory image/service</t>
  </si>
  <si>
    <t xml:space="preserve">Implement ldap group mapping from requirements and a clean baseline.</t>
  </si>
  <si>
    <t xml:space="preserve">Before testing, document expected control-plane, session, policy and packet-forwarding state for: LDAP; group mapping; include lists; nested groups; policy.</t>
  </si>
  <si>
    <t xml:space="preserve">Inject 2-4 realistic faults involving LDAP; group mapping; include lists; nested groups; policy; at least one must create a misleading symptom.</t>
  </si>
  <si>
    <t xml:space="preserve">Defend the design choice for LDAP Group Mapping: scale, failure domain, security effect, operations, licensing and rollback.</t>
  </si>
  <si>
    <t>ID-503</t>
  </si>
  <si>
    <t xml:space="preserve">Authentication Policy and Captive Portal</t>
  </si>
  <si>
    <t xml:space="preserve">Force authentication only where needed and validate redirect/cookie behavior.</t>
  </si>
  <si>
    <t xml:space="preserve">Authentication policy; Captive Portal; certificates; browser flow</t>
  </si>
  <si>
    <t xml:space="preserve">1 PA-VM + client + AAA/LDAP</t>
  </si>
  <si>
    <t xml:space="preserve">FreeRADIUS; Debian client</t>
  </si>
  <si>
    <t xml:space="preserve">Browser and identity service</t>
  </si>
  <si>
    <t xml:space="preserve">ID-501; FND-104</t>
  </si>
  <si>
    <t xml:space="preserve">Implement authentication policy and captive portal from requirements and a clean baseline.</t>
  </si>
  <si>
    <t xml:space="preserve">Before testing, document expected control-plane, session, policy and packet-forwarding state for: Authentication policy; Captive Portal; certificates; browser flow.</t>
  </si>
  <si>
    <t xml:space="preserve">Inject 2-4 realistic faults involving Authentication policy; Captive Portal; certificates; browser flow; at least one must create a misleading symptom.</t>
  </si>
  <si>
    <t xml:space="preserve">Defend the design choice for Authentication Policy and Captive Portal: scale, failure domain, security effect, operations, licensing and rollback.</t>
  </si>
  <si>
    <t>ID-504</t>
  </si>
  <si>
    <t xml:space="preserve">Cloud Identity Engine Integration</t>
  </si>
  <si>
    <t xml:space="preserve">Design Cloud Identity Engine onboarding, directory sync and policy use.</t>
  </si>
  <si>
    <t xml:space="preserve">Cloud Identity Engine; directory sync; tenant integration; group policy</t>
  </si>
  <si>
    <t xml:space="preserve">Cloud service + PA-VM/Panorama</t>
  </si>
  <si>
    <t xml:space="preserve">Future current PA-VM/Panorama</t>
  </si>
  <si>
    <t xml:space="preserve">Cloud Identity Engine tenant</t>
  </si>
  <si>
    <t xml:space="preserve">Cloud subscription/tenant</t>
  </si>
  <si>
    <t xml:space="preserve">FUTURE DEPENDENCY</t>
  </si>
  <si>
    <t xml:space="preserve">ID-502; PAN-902</t>
  </si>
  <si>
    <t xml:space="preserve">Implement cloud identity engine integration from requirements and a clean baseline.</t>
  </si>
  <si>
    <t xml:space="preserve">Before testing, document expected control-plane, session, policy and packet-forwarding state for: Cloud Identity Engine; directory sync; tenant integration; group policy.</t>
  </si>
  <si>
    <t xml:space="preserve">Inject 2-4 realistic faults involving Cloud Identity Engine; directory sync; tenant integration; group policy; at least one must create a misleading symptom.</t>
  </si>
  <si>
    <t xml:space="preserve">Defend the design choice for Cloud Identity Engine Integration: scale, failure domain, security effect, operations, licensing and rollback.</t>
  </si>
  <si>
    <t>ID-505</t>
  </si>
  <si>
    <t xml:space="preserve">Identity Failure and Privacy Design</t>
  </si>
  <si>
    <t xml:space="preserve">Create failure modes for stale mappings, shared hosts, terminal servers and privacy boundaries.</t>
  </si>
  <si>
    <t xml:space="preserve">Mapping precedence; redistribution; stale data; terminal server; privacy</t>
  </si>
  <si>
    <t xml:space="preserve">1 PA-VM + identity sources</t>
  </si>
  <si>
    <t xml:space="preserve">Debian; future Windows/RDS</t>
  </si>
  <si>
    <t xml:space="preserve">Mixed identity sources</t>
  </si>
  <si>
    <t xml:space="preserve">ID-501 to ID-503</t>
  </si>
  <si>
    <t xml:space="preserve">Implement identity failure and privacy design from requirements and a clean baseline.</t>
  </si>
  <si>
    <t xml:space="preserve">Before testing, document expected control-plane, session, policy and packet-forwarding state for: Mapping precedence; redistribution; stale data; terminal server; privacy.</t>
  </si>
  <si>
    <t xml:space="preserve">Inject 2-4 realistic faults involving Mapping precedence; redistribution; stale data; terminal server; privacy; at least one must create a misleading symptom.</t>
  </si>
  <si>
    <t xml:space="preserve">Defend the design choice for Identity Failure and Privacy Design: scale, failure domain, security effect, operations, licensing and rollback.</t>
  </si>
  <si>
    <t>DEC-601</t>
  </si>
  <si>
    <t xml:space="preserve">PKI and Trust Foundations</t>
  </si>
  <si>
    <t xml:space="preserve">Operate local CA, certificate profiles, revocation checking and renewal procedures.</t>
  </si>
  <si>
    <t xml:space="preserve">CA chain; certificate profiles; OCSP; CRL; renewal; trust</t>
  </si>
  <si>
    <t xml:space="preserve">1 PA-VM + Linux CA/OCSP</t>
  </si>
  <si>
    <t>Debian/OpenSSL</t>
  </si>
  <si>
    <t xml:space="preserve">Implement pki and trust foundations from requirements and a clean baseline.</t>
  </si>
  <si>
    <t xml:space="preserve">Before testing, document expected control-plane, session, policy and packet-forwarding state for: CA chain; certificate profiles; OCSP; CRL; renewal; trust.</t>
  </si>
  <si>
    <t xml:space="preserve">Inject 2-4 realistic faults involving CA chain; certificate profiles; OCSP; CRL; renewal; trust; at least one must create a misleading symptom.</t>
  </si>
  <si>
    <t xml:space="preserve">Defend the design choice for PKI and Trust Foundations: scale, failure domain, security effect, operations, licensing and rollback.</t>
  </si>
  <si>
    <t>DEC-602</t>
  </si>
  <si>
    <t xml:space="preserve">SSL Forward Proxy</t>
  </si>
  <si>
    <t xml:space="preserve">Decrypt outbound TLS, deploy trust certificates and prove content inspection.</t>
  </si>
  <si>
    <t xml:space="preserve">SSL Forward Proxy; trust/untrust certs; TLS negotiation; policy</t>
  </si>
  <si>
    <t xml:space="preserve">1 PA-VM + client + TLS servers</t>
  </si>
  <si>
    <t xml:space="preserve">Debian client; nginx TLS</t>
  </si>
  <si>
    <t xml:space="preserve">Client trust-store access</t>
  </si>
  <si>
    <t xml:space="preserve">DEC-601; POL-305</t>
  </si>
  <si>
    <t xml:space="preserve">Implement ssl forward proxy from requirements and a clean baseline.</t>
  </si>
  <si>
    <t xml:space="preserve">Before testing, document expected control-plane, session, policy and packet-forwarding state for: SSL Forward Proxy; trust/untrust certs; TLS negotiation; policy.</t>
  </si>
  <si>
    <t xml:space="preserve">Inject 2-4 realistic faults involving SSL Forward Proxy; trust/untrust certs; TLS negotiation; policy; at least one must create a misleading symptom.</t>
  </si>
  <si>
    <t xml:space="preserve">Defend the design choice for SSL Forward Proxy: scale, failure domain, security effect, operations, licensing and rollback.</t>
  </si>
  <si>
    <t>DEC-603</t>
  </si>
  <si>
    <t xml:space="preserve">SSL Inbound Inspection</t>
  </si>
  <si>
    <t xml:space="preserve">Protect an internal TLS service using private-key based inbound inspection.</t>
  </si>
  <si>
    <t xml:space="preserve">SSL Inbound Inspection; server certificate; private key; inspection coverage</t>
  </si>
  <si>
    <t xml:space="preserve">1 PA-VM + public client + TLS server</t>
  </si>
  <si>
    <t xml:space="preserve">nginx TLS; network-multitool</t>
  </si>
  <si>
    <t xml:space="preserve">Server private key</t>
  </si>
  <si>
    <t xml:space="preserve">Implement ssl inbound inspection from requirements and a clean baseline.</t>
  </si>
  <si>
    <t xml:space="preserve">Before testing, document expected control-plane, session, policy and packet-forwarding state for: SSL Inbound Inspection; server certificate; private key; inspection coverage.</t>
  </si>
  <si>
    <t xml:space="preserve">Inject 2-4 realistic faults involving SSL Inbound Inspection; server certificate; private key; inspection coverage; at least one must create a misleading symptom.</t>
  </si>
  <si>
    <t xml:space="preserve">Defend the design choice for SSL Inbound Inspection: scale, failure domain, security effect, operations, licensing and rollback.</t>
  </si>
  <si>
    <t>DEC-604</t>
  </si>
  <si>
    <t xml:space="preserve">SSH Proxy</t>
  </si>
  <si>
    <t xml:space="preserve">Inspect SSH traffic and distinguish supported controls from visibility limits.</t>
  </si>
  <si>
    <t xml:space="preserve">SSH Proxy; policy; logging; session behavior</t>
  </si>
  <si>
    <t xml:space="preserve">1 PA-VM + SSH client/server</t>
  </si>
  <si>
    <t>Debian/OpenSSH</t>
  </si>
  <si>
    <t xml:space="preserve">Version/feature validation</t>
  </si>
  <si>
    <t xml:space="preserve">Implement ssh proxy from requirements and a clean baseline.</t>
  </si>
  <si>
    <t xml:space="preserve">Before testing, document expected control-plane, session, policy and packet-forwarding state for: SSH Proxy; policy; logging; session behavior.</t>
  </si>
  <si>
    <t xml:space="preserve">Inject 2-4 realistic faults involving SSH Proxy; policy; logging; session behavior; at least one must create a misleading symptom.</t>
  </si>
  <si>
    <t xml:space="preserve">Defend the design choice for SSH Proxy: scale, failure domain, security effect, operations, licensing and rollback.</t>
  </si>
  <si>
    <t>DEC-605</t>
  </si>
  <si>
    <t xml:space="preserve">Decryption Exceptions and Troubleshooting</t>
  </si>
  <si>
    <t xml:space="preserve">Handle pinning, unsupported ciphers, mutual TLS, privacy exclusions and certificate errors.</t>
  </si>
  <si>
    <t xml:space="preserve">Decryption exclusions; failures; TLS versions; pinned apps; privacy</t>
  </si>
  <si>
    <t xml:space="preserve">1 PA-VM + diverse TLS endpoints</t>
  </si>
  <si>
    <t xml:space="preserve">Debian; nginx; controlled clients</t>
  </si>
  <si>
    <t xml:space="preserve">Representative TLS cases</t>
  </si>
  <si>
    <t xml:space="preserve">DEC-602; DEC-603</t>
  </si>
  <si>
    <t xml:space="preserve">Implement decryption exceptions and troubleshooting from requirements and a clean baseline.</t>
  </si>
  <si>
    <t xml:space="preserve">Before testing, document expected control-plane, session, policy and packet-forwarding state for: Decryption exclusions; failures; TLS versions; pinned apps; privacy.</t>
  </si>
  <si>
    <t xml:space="preserve">Inject 2-4 realistic faults involving Decryption exclusions; failures; TLS versions; pinned apps; privacy; at least one must create a misleading symptom.</t>
  </si>
  <si>
    <t xml:space="preserve">Defend the design choice for Decryption Exceptions and Troubleshooting: scale, failure domain, security effect, operations, licensing and rollback.</t>
  </si>
  <si>
    <t>DEC-606</t>
  </si>
  <si>
    <t xml:space="preserve">Encrypted Threat Prevention Validation</t>
  </si>
  <si>
    <t xml:space="preserve">Compare inspection and logging before/after decryption for safe malicious test artifacts.</t>
  </si>
  <si>
    <t xml:space="preserve">Decryption; App-ID; Threat Prevention; WildFire; log correlation</t>
  </si>
  <si>
    <t xml:space="preserve">nginx; controlled test files</t>
  </si>
  <si>
    <t xml:space="preserve">Security subscriptions</t>
  </si>
  <si>
    <t xml:space="preserve">DEC-602; POL-305</t>
  </si>
  <si>
    <t xml:space="preserve">Implement encrypted threat prevention validation from requirements and a clean baseline.</t>
  </si>
  <si>
    <t xml:space="preserve">Before testing, document expected control-plane, session, policy and packet-forwarding state for: Decryption; App-ID; Threat Prevention; WildFire; log correlation.</t>
  </si>
  <si>
    <t xml:space="preserve">Inject 2-4 realistic faults involving Decryption; App-ID; Threat Prevention; WildFire; log correlation; at least one must create a misleading symptom.</t>
  </si>
  <si>
    <t xml:space="preserve">Defend the design choice for Encrypted Threat Prevention Validation: scale, failure domain, security effect, operations, licensing and rollback.</t>
  </si>
  <si>
    <t>VPN-701</t>
  </si>
  <si>
    <t xml:space="preserve">Route-Based IPsec VPN</t>
  </si>
  <si>
    <t xml:space="preserve">Build IKE/IPsec tunnels, tunnel monitoring, routing and zone policy between firewalls.</t>
  </si>
  <si>
    <t xml:space="preserve">IKE; IPsec; tunnel interface; proxy ID; routing; monitoring</t>
  </si>
  <si>
    <t xml:space="preserve">2 PA-VMs or PA-VM + peer</t>
  </si>
  <si>
    <t xml:space="preserve">Second PA-VM; cSRX; FortiOS</t>
  </si>
  <si>
    <t xml:space="preserve">Two VPN endpoints</t>
  </si>
  <si>
    <t xml:space="preserve">NET-203; POL-301</t>
  </si>
  <si>
    <t xml:space="preserve">Implement route-based ipsec vpn from requirements and a clean baseline.</t>
  </si>
  <si>
    <t xml:space="preserve">Before testing, document expected control-plane, session, policy and packet-forwarding state for: IKE; IPsec; tunnel interface; proxy ID; routing; monitoring.</t>
  </si>
  <si>
    <t xml:space="preserve">Inject 2-4 realistic faults involving IKE; IPsec; tunnel interface; proxy ID; routing; monitoring; at least one must create a misleading symptom.</t>
  </si>
  <si>
    <t xml:space="preserve">Defend the design choice for Route-Based IPsec VPN: scale, failure domain, security effect, operations, licensing and rollback.</t>
  </si>
  <si>
    <t>VPN-702</t>
  </si>
  <si>
    <t xml:space="preserve">Advanced IPsec Interoperability</t>
  </si>
  <si>
    <t xml:space="preserve">Test IKEv2, PFS, lifetimes, NAT-T, fragmentation and cross-vendor negotiation.</t>
  </si>
  <si>
    <t xml:space="preserve">IKEv2; PFS; NAT-T; MTU/MSS; crypto interoperability</t>
  </si>
  <si>
    <t xml:space="preserve">PA-VM + cSRX/FortiOS/VyOS</t>
  </si>
  <si>
    <t xml:space="preserve">cSRX; FortiOS; VyOS</t>
  </si>
  <si>
    <t xml:space="preserve">Licensed endpoints</t>
  </si>
  <si>
    <t xml:space="preserve">Implement advanced ipsec interoperability from requirements and a clean baseline.</t>
  </si>
  <si>
    <t xml:space="preserve">Before testing, document expected control-plane, session, policy and packet-forwarding state for: IKEv2; PFS; NAT-T; MTU/MSS; crypto interoperability.</t>
  </si>
  <si>
    <t xml:space="preserve">Inject 2-4 realistic faults involving IKEv2; PFS; NAT-T; MTU/MSS; crypto interoperability; at least one must create a misleading symptom.</t>
  </si>
  <si>
    <t xml:space="preserve">Defend the design choice for Advanced IPsec Interoperability: scale, failure domain, security effect, operations, licensing and rollback.</t>
  </si>
  <si>
    <t>VPN-703</t>
  </si>
  <si>
    <t xml:space="preserve">Resilient VPN and Dynamic Routing</t>
  </si>
  <si>
    <t xml:space="preserve">Build dual-underlay tunnels with BGP/OSPF and deterministic failover.</t>
  </si>
  <si>
    <t xml:space="preserve">Dual ISP; tunnel monitoring; BGP; OSPF; ECMP; failover</t>
  </si>
  <si>
    <t xml:space="preserve">2 PA-VMs + 2 ISP peers</t>
  </si>
  <si>
    <t>cRPD/XRd/VyOS</t>
  </si>
  <si>
    <t xml:space="preserve">Two PA-VM instances preferred</t>
  </si>
  <si>
    <t xml:space="preserve">VPN-702; NET-205</t>
  </si>
  <si>
    <t xml:space="preserve">Implement resilient vpn and dynamic routing from requirements and a clean baseline.</t>
  </si>
  <si>
    <t xml:space="preserve">Before testing, document expected control-plane, session, policy and packet-forwarding state for: Dual ISP; tunnel monitoring; BGP; OSPF; ECMP; failover.</t>
  </si>
  <si>
    <t xml:space="preserve">Inject 2-4 realistic faults involving Dual ISP; tunnel monitoring; BGP; OSPF; ECMP; failover; at least one must create a misleading symptom.</t>
  </si>
  <si>
    <t xml:space="preserve">Defend the design choice for Resilient VPN and Dynamic Routing: scale, failure domain, security effect, operations, licensing and rollback.</t>
  </si>
  <si>
    <t>VPN-704</t>
  </si>
  <si>
    <t xml:space="preserve">GlobalProtect Portal and Gateway</t>
  </si>
  <si>
    <t xml:space="preserve">Deploy basic remote access with certificates, authentication, address pools and policy.</t>
  </si>
  <si>
    <t xml:space="preserve">GlobalProtect portal; gateway; agent config; tunnel; auth</t>
  </si>
  <si>
    <t xml:space="preserve">PA-VM + remote client</t>
  </si>
  <si>
    <t xml:space="preserve">Future Windows/Linux GP client</t>
  </si>
  <si>
    <t xml:space="preserve">GlobalProtect-capable license/client</t>
  </si>
  <si>
    <t xml:space="preserve">FND-103; DEC-601</t>
  </si>
  <si>
    <t xml:space="preserve">Implement globalprotect portal and gateway from requirements and a clean baseline.</t>
  </si>
  <si>
    <t xml:space="preserve">Before testing, document expected control-plane, session, policy and packet-forwarding state for: GlobalProtect portal; gateway; agent config; tunnel; auth.</t>
  </si>
  <si>
    <t xml:space="preserve">Inject 2-4 realistic faults involving GlobalProtect portal; gateway; agent config; tunnel; auth; at least one must create a misleading symptom.</t>
  </si>
  <si>
    <t xml:space="preserve">Defend the design choice for GlobalProtect Portal and Gateway: scale, failure domain, security effect, operations, licensing and rollback.</t>
  </si>
  <si>
    <t>VPN-705</t>
  </si>
  <si>
    <t xml:space="preserve">GlobalProtect Identity and Endpoint Policy</t>
  </si>
  <si>
    <t xml:space="preserve">Integrate LDAP/RADIUS/SAML/MFA concepts, HIP and split-tunnel design.</t>
  </si>
  <si>
    <t xml:space="preserve">SAML; MFA; certificates; HIP; split tunnel; internal host detection</t>
  </si>
  <si>
    <t xml:space="preserve">PA-VM + GP clients + IdP</t>
  </si>
  <si>
    <t xml:space="preserve">Future current PA-VM and clients</t>
  </si>
  <si>
    <t xml:space="preserve">Future AD/IdP/GP clients</t>
  </si>
  <si>
    <t xml:space="preserve">Identity/GP dependencies</t>
  </si>
  <si>
    <t xml:space="preserve">VPN-704; ID-502</t>
  </si>
  <si>
    <t xml:space="preserve">Implement globalprotect identity and endpoint policy from requirements and a clean baseline.</t>
  </si>
  <si>
    <t xml:space="preserve">Before testing, document expected control-plane, session, policy and packet-forwarding state for: SAML; MFA; certificates; HIP; split tunnel; internal host detection.</t>
  </si>
  <si>
    <t xml:space="preserve">Inject 2-4 realistic faults involving SAML; MFA; certificates; HIP; split tunnel; internal host detection; at least one must create a misleading symptom.</t>
  </si>
  <si>
    <t xml:space="preserve">Defend the design choice for GlobalProtect Identity and Endpoint Policy: scale, failure domain, security effect, operations, licensing and rollback.</t>
  </si>
  <si>
    <t>VPN-706</t>
  </si>
  <si>
    <t xml:space="preserve">GlobalProtect Troubleshooting</t>
  </si>
  <si>
    <t xml:space="preserve">Diagnose portal, gateway, certificate, authentication, routing and client-log failures.</t>
  </si>
  <si>
    <t xml:space="preserve">GP logs; TLS; authentication; tunnel; routing; DNS; endpoint state</t>
  </si>
  <si>
    <t xml:space="preserve">PA-VM + multiple GP clients</t>
  </si>
  <si>
    <t xml:space="preserve">Packet capture; IdP/LDAP</t>
  </si>
  <si>
    <t xml:space="preserve">GP clients and identity services</t>
  </si>
  <si>
    <t xml:space="preserve">VPN-704; VPN-705</t>
  </si>
  <si>
    <t xml:space="preserve">Implement globalprotect troubleshooting from requirements and a clean baseline.</t>
  </si>
  <si>
    <t xml:space="preserve">Before testing, document expected control-plane, session, policy and packet-forwarding state for: GP logs; TLS; authentication; tunnel; routing; DNS; endpoint state.</t>
  </si>
  <si>
    <t xml:space="preserve">Inject 2-4 realistic faults involving GP logs; TLS; authentication; tunnel; routing; DNS; endpoint state; at least one must create a misleading symptom.</t>
  </si>
  <si>
    <t xml:space="preserve">Defend the design choice for GlobalProtect Troubleshooting: scale, failure domain, security effect, operations, licensing and rollback.</t>
  </si>
  <si>
    <t>HA-801</t>
  </si>
  <si>
    <t xml:space="preserve">Active/Passive HA Baseline</t>
  </si>
  <si>
    <t xml:space="preserve">Build HA control/data links, election, config sync and monitored interfaces.</t>
  </si>
  <si>
    <t xml:space="preserve">HA1/HA2; election; device priority; config sync; monitoring</t>
  </si>
  <si>
    <t xml:space="preserve">2 PA-VMs + redundant peers</t>
  </si>
  <si>
    <t xml:space="preserve">Two licensed PA-VMs</t>
  </si>
  <si>
    <t xml:space="preserve">NET-203; FND-104</t>
  </si>
  <si>
    <t xml:space="preserve">Implement active/passive ha baseline from requirements and a clean baseline.</t>
  </si>
  <si>
    <t xml:space="preserve">Before testing, document expected control-plane, session, policy and packet-forwarding state for: HA1/HA2; election; device priority; config sync; monitoring.</t>
  </si>
  <si>
    <t xml:space="preserve">Inject 2-4 realistic faults involving HA1/HA2; election; device priority; config sync; monitoring; at least one must create a misleading symptom.</t>
  </si>
  <si>
    <t xml:space="preserve">Defend the design choice for Active/Passive HA Baseline: scale, failure domain, security effect, operations, licensing and rollback.</t>
  </si>
  <si>
    <t>HA-802</t>
  </si>
  <si>
    <t xml:space="preserve">Link and Path Monitoring</t>
  </si>
  <si>
    <t xml:space="preserve">Design failure detection that fails over only for meaningful service loss.</t>
  </si>
  <si>
    <t xml:space="preserve">Link groups; path groups; failure conditions; timers; split brain</t>
  </si>
  <si>
    <t xml:space="preserve">2 PA-VMs + upstream/downstream peers</t>
  </si>
  <si>
    <t xml:space="preserve">VyOS; cSRX; network-multitool</t>
  </si>
  <si>
    <t xml:space="preserve">Implement link and path monitoring from requirements and a clean baseline.</t>
  </si>
  <si>
    <t xml:space="preserve">Before testing, document expected control-plane, session, policy and packet-forwarding state for: Link groups; path groups; failure conditions; timers; split brain.</t>
  </si>
  <si>
    <t xml:space="preserve">Inject 2-4 realistic faults involving Link groups; path groups; failure conditions; timers; split brain; at least one must create a misleading symptom.</t>
  </si>
  <si>
    <t xml:space="preserve">Defend the design choice for Link and Path Monitoring: scale, failure domain, security effect, operations, licensing and rollback.</t>
  </si>
  <si>
    <t>HA-803</t>
  </si>
  <si>
    <t xml:space="preserve">Session and State Synchronization</t>
  </si>
  <si>
    <t xml:space="preserve">Observe session owner/setup/forwarding, synchronization limits and asymmetric traffic.</t>
  </si>
  <si>
    <t xml:space="preserve">Session sync; HA2; NAT state; forwarding; asymmetric flow</t>
  </si>
  <si>
    <t xml:space="preserve">2 PA-VMs + traffic generators</t>
  </si>
  <si>
    <t xml:space="preserve">packetflix; network-multitool</t>
  </si>
  <si>
    <t xml:space="preserve">HA-801; NAT-403</t>
  </si>
  <si>
    <t xml:space="preserve">Implement session and state synchronization from requirements and a clean baseline.</t>
  </si>
  <si>
    <t xml:space="preserve">Before testing, document expected control-plane, session, policy and packet-forwarding state for: Session sync; HA2; NAT state; forwarding; asymmetric flow.</t>
  </si>
  <si>
    <t xml:space="preserve">Inject 2-4 realistic faults involving Session sync; HA2; NAT state; forwarding; asymmetric flow; at least one must create a misleading symptom.</t>
  </si>
  <si>
    <t xml:space="preserve">Defend the design choice for Session and State Synchronization: scale, failure domain, security effect, operations, licensing and rollback.</t>
  </si>
  <si>
    <t>HA-804</t>
  </si>
  <si>
    <t xml:space="preserve">HA Upgrade and Maintenance Runbook</t>
  </si>
  <si>
    <t xml:space="preserve">Execute backup, suspend, failover, upgrade, validation and rollback with evidence.</t>
  </si>
  <si>
    <t xml:space="preserve">HA upgrade; content compatibility; failover; rollback; validation</t>
  </si>
  <si>
    <t xml:space="preserve">2 PA-VMs; ideally two versions</t>
  </si>
  <si>
    <t xml:space="preserve">Newer PAN-OS image</t>
  </si>
  <si>
    <t xml:space="preserve">HA-801; FND-105</t>
  </si>
  <si>
    <t xml:space="preserve">Implement ha upgrade and maintenance runbook from requirements and a clean baseline.</t>
  </si>
  <si>
    <t xml:space="preserve">Before testing, document expected control-plane, session, policy and packet-forwarding state for: HA upgrade; content compatibility; failover; rollback; validation.</t>
  </si>
  <si>
    <t xml:space="preserve">Inject 2-4 realistic faults involving HA upgrade; content compatibility; failover; rollback; validation; at least one must create a misleading symptom.</t>
  </si>
  <si>
    <t xml:space="preserve">Defend the design choice for HA Upgrade and Maintenance Runbook: scale, failure domain, security effect, operations, licensing and rollback.</t>
  </si>
  <si>
    <t>HA-805</t>
  </si>
  <si>
    <t xml:space="preserve">Active/Active Design and Constraints</t>
  </si>
  <si>
    <t xml:space="preserve">Lab supported behavior and document why active/active is or is not appropriate.</t>
  </si>
  <si>
    <t xml:space="preserve">Active/active; session owner; floating IP; routing; asymmetry</t>
  </si>
  <si>
    <t xml:space="preserve">2 PA-VMs + redundant network</t>
  </si>
  <si>
    <t xml:space="preserve">VyOS; cSRX</t>
  </si>
  <si>
    <t xml:space="preserve">Two PA-VMs and feature support</t>
  </si>
  <si>
    <t xml:space="preserve">Implement active/active design and constraints from requirements and a clean baseline.</t>
  </si>
  <si>
    <t xml:space="preserve">Before testing, document expected control-plane, session, policy and packet-forwarding state for: Active/active; session owner; floating IP; routing; asymmetry.</t>
  </si>
  <si>
    <t xml:space="preserve">Inject 2-4 realistic faults involving Active/active; session owner; floating IP; routing; asymmetry; at least one must create a misleading symptom.</t>
  </si>
  <si>
    <t xml:space="preserve">Defend the design choice for Active/Active Design and Constraints: scale, failure domain, security effect, operations, licensing and rollback.</t>
  </si>
  <si>
    <t>HA-806</t>
  </si>
  <si>
    <t xml:space="preserve">HA Failure Matrix</t>
  </si>
  <si>
    <t xml:space="preserve">Inject link, path, process, peer and configuration faults and validate expected outcomes.</t>
  </si>
  <si>
    <t xml:space="preserve">Failure matrix; split brain; sync failure; path failure; recovery</t>
  </si>
  <si>
    <t xml:space="preserve">2 PA-VMs + fault harness</t>
  </si>
  <si>
    <t xml:space="preserve">packet capture; traffic generators</t>
  </si>
  <si>
    <t xml:space="preserve">Two PA-VMs</t>
  </si>
  <si>
    <t xml:space="preserve">HA-801 to HA-805</t>
  </si>
  <si>
    <t xml:space="preserve">Implement ha failure matrix from requirements and a clean baseline.</t>
  </si>
  <si>
    <t xml:space="preserve">Before testing, document expected control-plane, session, policy and packet-forwarding state for: Failure matrix; split brain; sync failure; path failure; recovery.</t>
  </si>
  <si>
    <t xml:space="preserve">Inject 2-4 realistic faults involving Failure matrix; split brain; sync failure; path failure; recovery; at least one must create a misleading symptom.</t>
  </si>
  <si>
    <t xml:space="preserve">Defend the design choice for HA Failure Matrix: scale, failure domain, security effect, operations, licensing and rollback.</t>
  </si>
  <si>
    <t>PAN-901</t>
  </si>
  <si>
    <t xml:space="preserve">Panorama Onboarding and Secure Connectivity</t>
  </si>
  <si>
    <t xml:space="preserve">Deploy Panorama, license/register it, add firewalls and secure management communication.</t>
  </si>
  <si>
    <t xml:space="preserve">Panorama setup; device registration; auth key; certificates; connectivity</t>
  </si>
  <si>
    <t xml:space="preserve">1 Panorama + 2 PA-VMs</t>
  </si>
  <si>
    <t xml:space="preserve">Future Panorama VM</t>
  </si>
  <si>
    <t xml:space="preserve">Panorama VM/license</t>
  </si>
  <si>
    <t xml:space="preserve">Implement panorama onboarding and secure connectivity from requirements and a clean baseline.</t>
  </si>
  <si>
    <t xml:space="preserve">Before testing, document expected control-plane, session, policy and packet-forwarding state for: Panorama setup; device registration; auth key; certificates; connectivity.</t>
  </si>
  <si>
    <t xml:space="preserve">Inject 2-4 realistic faults involving Panorama setup; device registration; auth key; certificates; connectivity; at least one must create a misleading symptom.</t>
  </si>
  <si>
    <t xml:space="preserve">Defend the design choice for Panorama Onboarding and Secure Connectivity: scale, failure domain, security effect, operations, licensing and rollback.</t>
  </si>
  <si>
    <t>PAN-902</t>
  </si>
  <si>
    <t xml:space="preserve">Device Group Hierarchy</t>
  </si>
  <si>
    <t xml:space="preserve">Design shared and nested Device Groups for policy/object ownership and inheritance.</t>
  </si>
  <si>
    <t xml:space="preserve">Device Groups; hierarchy; shared objects; inheritance; overrides</t>
  </si>
  <si>
    <t xml:space="preserve">1 Panorama + 3 PA-VMs</t>
  </si>
  <si>
    <t xml:space="preserve">Multiple PA-VMs</t>
  </si>
  <si>
    <t xml:space="preserve">PAN-901; POL-301</t>
  </si>
  <si>
    <t xml:space="preserve">Implement device group hierarchy from requirements and a clean baseline.</t>
  </si>
  <si>
    <t xml:space="preserve">Before testing, document expected control-plane, session, policy and packet-forwarding state for: Device Groups; hierarchy; shared objects; inheritance; overrides.</t>
  </si>
  <si>
    <t xml:space="preserve">Inject 2-4 realistic faults involving Device Groups; hierarchy; shared objects; inheritance; overrides; at least one must create a misleading symptom.</t>
  </si>
  <si>
    <t xml:space="preserve">Defend the design choice for Device Group Hierarchy: scale, failure domain, security effect, operations, licensing and rollback.</t>
  </si>
  <si>
    <t>PAN-903</t>
  </si>
  <si>
    <t xml:space="preserve">Templates and Template Stacks</t>
  </si>
  <si>
    <t xml:space="preserve">Build network/device configuration using templates, stacks and variables.</t>
  </si>
  <si>
    <t xml:space="preserve">Templates; stacks; variables; priority; overrides</t>
  </si>
  <si>
    <t xml:space="preserve">PAN-901; NET-202</t>
  </si>
  <si>
    <t xml:space="preserve">Implement templates and template stacks from requirements and a clean baseline.</t>
  </si>
  <si>
    <t xml:space="preserve">Before testing, document expected control-plane, session, policy and packet-forwarding state for: Templates; stacks; variables; priority; overrides.</t>
  </si>
  <si>
    <t xml:space="preserve">Inject 2-4 realistic faults involving Templates; stacks; variables; priority; overrides; at least one must create a misleading symptom.</t>
  </si>
  <si>
    <t xml:space="preserve">Defend the design choice for Templates and Template Stacks: scale, failure domain, security effect, operations, licensing and rollback.</t>
  </si>
  <si>
    <t>PAN-904</t>
  </si>
  <si>
    <t xml:space="preserve">Pre-Rules, Post-Rules and Local Policy</t>
  </si>
  <si>
    <t xml:space="preserve">Prove policy order across Panorama and local rulebases and control exceptions.</t>
  </si>
  <si>
    <t xml:space="preserve">Pre-rules; local rules; post-rules; shared rules; inheritance</t>
  </si>
  <si>
    <t xml:space="preserve">Implement pre-rules, post-rules and local policy from requirements and a clean baseline.</t>
  </si>
  <si>
    <t xml:space="preserve">Before testing, document expected control-plane, session, policy and packet-forwarding state for: Pre-rules; local rules; post-rules; shared rules; inheritance.</t>
  </si>
  <si>
    <t xml:space="preserve">Inject 2-4 realistic faults involving Pre-rules; local rules; post-rules; shared rules; inheritance; at least one must create a misleading symptom.</t>
  </si>
  <si>
    <t xml:space="preserve">Defend the design choice for Pre-Rules, Post-Rules and Local Policy: scale, failure domain, security effect, operations, licensing and rollback.</t>
  </si>
  <si>
    <t>PAN-905</t>
  </si>
  <si>
    <t xml:space="preserve">Commit, Push and Override Troubleshooting</t>
  </si>
  <si>
    <t xml:space="preserve">Use validation, preview, selective push and audit to resolve out-of-sync and override issues.</t>
  </si>
  <si>
    <t xml:space="preserve">Commit to Panorama; Commit All; push scope; preview; overrides; locks</t>
  </si>
  <si>
    <t xml:space="preserve">PAN-902; PAN-903</t>
  </si>
  <si>
    <t xml:space="preserve">Implement commit, push and override troubleshooting from requirements and a clean baseline.</t>
  </si>
  <si>
    <t xml:space="preserve">Before testing, document expected control-plane, session, policy and packet-forwarding state for: Commit to Panorama; Commit All; push scope; preview; overrides; locks.</t>
  </si>
  <si>
    <t xml:space="preserve">Inject 2-4 realistic faults involving Commit to Panorama; Commit All; push scope; preview; overrides; locks; at least one must create a misleading symptom.</t>
  </si>
  <si>
    <t xml:space="preserve">Defend the design choice for Commit, Push and Override Troubleshooting: scale, failure domain, security effect, operations, licensing and rollback.</t>
  </si>
  <si>
    <t>PAN-906</t>
  </si>
  <si>
    <t xml:space="preserve">Log Collectors and Reporting</t>
  </si>
  <si>
    <t xml:space="preserve">Design local/dedicated collection, Collector Groups, redundancy, forwarding and retention.</t>
  </si>
  <si>
    <t xml:space="preserve">Managed Collectors; Collector Groups; redundancy; log forwarding; reports</t>
  </si>
  <si>
    <t xml:space="preserve">Panorama + PA-VM fleet + log destination</t>
  </si>
  <si>
    <t xml:space="preserve">Debian syslog; future CDL</t>
  </si>
  <si>
    <t xml:space="preserve">Panorama/logging capacity</t>
  </si>
  <si>
    <t xml:space="preserve">PAN-901; POL-307</t>
  </si>
  <si>
    <t xml:space="preserve">Implement log collectors and reporting from requirements and a clean baseline.</t>
  </si>
  <si>
    <t xml:space="preserve">Before testing, document expected control-plane, session, policy and packet-forwarding state for: Managed Collectors; Collector Groups; redundancy; log forwarding; reports.</t>
  </si>
  <si>
    <t xml:space="preserve">Inject 2-4 realistic faults involving Managed Collectors; Collector Groups; redundancy; log forwarding; reports; at least one must create a misleading symptom.</t>
  </si>
  <si>
    <t xml:space="preserve">Defend the design choice for Log Collectors and Reporting: scale, failure domain, security effect, operations, licensing and rollback.</t>
  </si>
  <si>
    <t>PAN-907</t>
  </si>
  <si>
    <t xml:space="preserve">Panorama HA and Delegated Administration</t>
  </si>
  <si>
    <t xml:space="preserve">Design management HA, access domains, admin roles and operational ownership.</t>
  </si>
  <si>
    <t xml:space="preserve">Panorama HA; admin roles; access domains; failover; DR</t>
  </si>
  <si>
    <t xml:space="preserve">2 Panorama + multiple PA-VMs</t>
  </si>
  <si>
    <t xml:space="preserve">Two Panorama instances/licenses</t>
  </si>
  <si>
    <t xml:space="preserve">PAN-905; PAN-906</t>
  </si>
  <si>
    <t xml:space="preserve">Implement panorama ha and delegated administration from requirements and a clean baseline.</t>
  </si>
  <si>
    <t xml:space="preserve">Before testing, document expected control-plane, session, policy and packet-forwarding state for: Panorama HA; admin roles; access domains; failover; DR.</t>
  </si>
  <si>
    <t xml:space="preserve">Inject 2-4 realistic faults involving Panorama HA; admin roles; access domains; failover; DR; at least one must create a misleading symptom.</t>
  </si>
  <si>
    <t xml:space="preserve">Defend the design choice for Panorama HA and Delegated Administration: scale, failure domain, security effect, operations, licensing and rollback.</t>
  </si>
  <si>
    <t>OPS-1001</t>
  </si>
  <si>
    <t xml:space="preserve">Logs, ACC and Session Correlation</t>
  </si>
  <si>
    <t xml:space="preserve">Correlate traffic, threat, URL, decryption, system, config and authentication evidence.</t>
  </si>
  <si>
    <t xml:space="preserve">ACC; traffic logs; threat logs; session browser; log filters</t>
  </si>
  <si>
    <t xml:space="preserve">1 PA-VM + mixed traffic</t>
  </si>
  <si>
    <t xml:space="preserve">Implement logs, acc and session correlation from requirements and a clean baseline.</t>
  </si>
  <si>
    <t xml:space="preserve">Before testing, document expected control-plane, session, policy and packet-forwarding state for: ACC; traffic logs; threat logs; session browser; log filters.</t>
  </si>
  <si>
    <t xml:space="preserve">Inject 2-4 realistic faults involving ACC; traffic logs; threat logs; session browser; log filters; at least one must create a misleading symptom.</t>
  </si>
  <si>
    <t xml:space="preserve">Defend the design choice for Logs, ACC and Session Correlation: scale, failure domain, security effect, operations, licensing and rollback.</t>
  </si>
  <si>
    <t>OPS-1002</t>
  </si>
  <si>
    <t xml:space="preserve">Packet Capture and Global Counters</t>
  </si>
  <si>
    <t xml:space="preserve">Use receive/firewall/transmit/drop captures and counters without misreading stages.</t>
  </si>
  <si>
    <t xml:space="preserve">Packet capture stages; filters; global counters; flow basic</t>
  </si>
  <si>
    <t xml:space="preserve">1 PA-VM + packet tools</t>
  </si>
  <si>
    <t xml:space="preserve">Wireshark VNC; packetflix; ghostwire</t>
  </si>
  <si>
    <t xml:space="preserve">OPS-1001; NAT-403</t>
  </si>
  <si>
    <t xml:space="preserve">Implement packet capture and global counters from requirements and a clean baseline.</t>
  </si>
  <si>
    <t xml:space="preserve">Before testing, document expected control-plane, session, policy and packet-forwarding state for: Packet capture stages; filters; global counters; flow basic.</t>
  </si>
  <si>
    <t xml:space="preserve">Inject 2-4 realistic faults involving Packet capture stages; filters; global counters; flow basic; at least one must create a misleading symptom.</t>
  </si>
  <si>
    <t xml:space="preserve">Defend the design choice for Packet Capture and Global Counters: scale, failure domain, security effect, operations, licensing and rollback.</t>
  </si>
  <si>
    <t>OPS-1003</t>
  </si>
  <si>
    <t xml:space="preserve">Policy and Flow Test Tools</t>
  </si>
  <si>
    <t xml:space="preserve">Validate security, NAT, routing and application decisions before production changes.</t>
  </si>
  <si>
    <t xml:space="preserve">test security-policy-match; test nat-policy-match; route lookup; session lookup</t>
  </si>
  <si>
    <t xml:space="preserve">1 PA-VM + endpoints</t>
  </si>
  <si>
    <t>network-multitool</t>
  </si>
  <si>
    <t xml:space="preserve">POL-301; NAT-403</t>
  </si>
  <si>
    <t xml:space="preserve">Implement policy and flow test tools from requirements and a clean baseline.</t>
  </si>
  <si>
    <t xml:space="preserve">Before testing, document expected control-plane, session, policy and packet-forwarding state for: test security-policy-match; test nat-policy-match; route lookup; session lookup.</t>
  </si>
  <si>
    <t xml:space="preserve">Inject 2-4 realistic faults involving test security-policy-match; test nat-policy-match; route lookup; session lookup; at least one must create a misleading symptom.</t>
  </si>
  <si>
    <t xml:space="preserve">Defend the design choice for Policy and Flow Test Tools: scale, failure domain, security effect, operations, licensing and rollback.</t>
  </si>
  <si>
    <t>OPS-1004</t>
  </si>
  <si>
    <t xml:space="preserve">Routing, NAT and VPN Triage</t>
  </si>
  <si>
    <t xml:space="preserve">Run a symptom-first diagnostic path across route, zone, policy, NAT, session and tunnel state.</t>
  </si>
  <si>
    <t xml:space="preserve">Routing; zones; policy; NAT; IPsec; counters; captures</t>
  </si>
  <si>
    <t xml:space="preserve">2 PA-VMs + routing peers</t>
  </si>
  <si>
    <t xml:space="preserve">cSRX; VyOS; network-multitool</t>
  </si>
  <si>
    <t xml:space="preserve">Fault injection</t>
  </si>
  <si>
    <t xml:space="preserve">NET-205; NAT-405; VPN-702</t>
  </si>
  <si>
    <t xml:space="preserve">Implement routing, nat and vpn triage from requirements and a clean baseline.</t>
  </si>
  <si>
    <t xml:space="preserve">Before testing, document expected control-plane, session, policy and packet-forwarding state for: Routing; zones; policy; NAT; IPsec; counters; captures.</t>
  </si>
  <si>
    <t xml:space="preserve">Inject 2-4 realistic faults involving Routing; zones; policy; NAT; IPsec; counters; captures; at least one must create a misleading symptom.</t>
  </si>
  <si>
    <t xml:space="preserve">Defend the design choice for Routing, NAT and VPN Triage: scale, failure domain, security effect, operations, licensing and rollback.</t>
  </si>
  <si>
    <t>OPS-1005</t>
  </si>
  <si>
    <t xml:space="preserve">Identity, Decryption and Content Triage</t>
  </si>
  <si>
    <t xml:space="preserve">Separate identity, TLS, application and content-engine failures from basic forwarding.</t>
  </si>
  <si>
    <t xml:space="preserve">User-ID; decryption; App-ID; content profiles; log correlation</t>
  </si>
  <si>
    <t xml:space="preserve">1 PA-VM + identity/TLS services</t>
  </si>
  <si>
    <t xml:space="preserve">Debian; RADIUS; nginx</t>
  </si>
  <si>
    <t xml:space="preserve">Subscriptions improve coverage</t>
  </si>
  <si>
    <t xml:space="preserve">ID-505; DEC-605; POL-305</t>
  </si>
  <si>
    <t xml:space="preserve">Implement identity, decryption and content triage from requirements and a clean baseline.</t>
  </si>
  <si>
    <t xml:space="preserve">Before testing, document expected control-plane, session, policy and packet-forwarding state for: User-ID; decryption; App-ID; content profiles; log correlation.</t>
  </si>
  <si>
    <t xml:space="preserve">Inject 2-4 realistic faults involving User-ID; decryption; App-ID; content profiles; log correlation; at least one must create a misleading symptom.</t>
  </si>
  <si>
    <t xml:space="preserve">Defend the design choice for Identity, Decryption and Content Triage: scale, failure domain, security effect, operations, licensing and rollback.</t>
  </si>
  <si>
    <t>OPS-1006</t>
  </si>
  <si>
    <t xml:space="preserve">Management Plane and Data Plane Health</t>
  </si>
  <si>
    <t xml:space="preserve">Interpret resources, processes, queues, packet descriptors and dataplane restarts safely.</t>
  </si>
  <si>
    <t xml:space="preserve">MP/DP; processes; resources; queues; system logs; support boundaries</t>
  </si>
  <si>
    <t xml:space="preserve">1 PA-VM + load generation</t>
  </si>
  <si>
    <t xml:space="preserve">Virtual performance is not hardware-equivalent</t>
  </si>
  <si>
    <t xml:space="preserve">Implement management plane and data plane health from requirements and a clean baseline.</t>
  </si>
  <si>
    <t xml:space="preserve">Before testing, document expected control-plane, session, policy and packet-forwarding state for: MP/DP; processes; resources; queues; system logs; support boundaries.</t>
  </si>
  <si>
    <t xml:space="preserve">Inject 2-4 realistic faults involving MP/DP; processes; resources; queues; system logs; support boundaries; at least one must create a misleading symptom.</t>
  </si>
  <si>
    <t xml:space="preserve">Defend the design choice for Management Plane and Data Plane Health: scale, failure domain, security effect, operations, licensing and rollback.</t>
  </si>
  <si>
    <t>OPS-1007</t>
  </si>
  <si>
    <t xml:space="preserve">Recovery, Forensics and Tech Support File</t>
  </si>
  <si>
    <t xml:space="preserve">Recover configurations, preserve evidence, collect support data and document escalation.</t>
  </si>
  <si>
    <t xml:space="preserve">Config recovery; device state; core files; TSF; evidence preservation; RCA</t>
  </si>
  <si>
    <t xml:space="preserve">Secure storage container</t>
  </si>
  <si>
    <t xml:space="preserve">FND-104; OPS-1001</t>
  </si>
  <si>
    <t xml:space="preserve">Implement recovery, forensics and tech support file from requirements and a clean baseline.</t>
  </si>
  <si>
    <t xml:space="preserve">Before testing, document expected control-plane, session, policy and packet-forwarding state for: Config recovery; device state; core files; TSF; evidence preservation; RCA.</t>
  </si>
  <si>
    <t xml:space="preserve">Inject 2-4 realistic faults involving Config recovery; device state; core files; TSF; evidence preservation; RCA; at least one must create a misleading symptom.</t>
  </si>
  <si>
    <t xml:space="preserve">Defend the design choice for Recovery, Forensics and Tech Support File: scale, failure domain, security effect, operations, licensing and rollback.</t>
  </si>
  <si>
    <t>OPS-1008</t>
  </si>
  <si>
    <t xml:space="preserve">Upgrade Regression and Change Validation</t>
  </si>
  <si>
    <t xml:space="preserve">Create pre/post checks for routing, policy, VPN, HA, identity and content after change.</t>
  </si>
  <si>
    <t xml:space="preserve">Change plan; acceptance matrix; rollback; regression; evidence</t>
  </si>
  <si>
    <t xml:space="preserve">2 PA-VM versions preferred</t>
  </si>
  <si>
    <t xml:space="preserve">Newer image for true upgrade</t>
  </si>
  <si>
    <t xml:space="preserve">FND-105; OPS-1004</t>
  </si>
  <si>
    <t xml:space="preserve">Implement upgrade regression and change validation from requirements and a clean baseline.</t>
  </si>
  <si>
    <t xml:space="preserve">Before testing, document expected control-plane, session, policy and packet-forwarding state for: Change plan; acceptance matrix; rollback; regression; evidence.</t>
  </si>
  <si>
    <t xml:space="preserve">Inject 2-4 realistic faults involving Change plan; acceptance matrix; rollback; regression; evidence; at least one must create a misleading symptom.</t>
  </si>
  <si>
    <t xml:space="preserve">Defend the design choice for Upgrade Regression and Change Validation: scale, failure domain, security effect, operations, licensing and rollback.</t>
  </si>
  <si>
    <t>AUT-1101</t>
  </si>
  <si>
    <t xml:space="preserve">PAN-OS CLI and XML API</t>
  </si>
  <si>
    <t xml:space="preserve">Automate operational queries and configuration safely with key handling and commit control.</t>
  </si>
  <si>
    <t xml:space="preserve">CLI; XML API; XPath; config vs operational commands; commit</t>
  </si>
  <si>
    <t xml:space="preserve">1 PA-VM + Debian/Python</t>
  </si>
  <si>
    <t xml:space="preserve">API access</t>
  </si>
  <si>
    <t xml:space="preserve">Implement pan-os cli and xml api from requirements and a clean baseline.</t>
  </si>
  <si>
    <t xml:space="preserve">Before testing, document expected control-plane, session, policy and packet-forwarding state for: CLI; XML API; XPath; config vs operational commands; commit.</t>
  </si>
  <si>
    <t xml:space="preserve">Inject 2-4 realistic faults involving CLI; XML API; XPath; config vs operational commands; commit; at least one must create a misleading symptom.</t>
  </si>
  <si>
    <t xml:space="preserve">Defend the design choice for PAN-OS CLI and XML API: scale, failure domain, security effect, operations, licensing and rollback.</t>
  </si>
  <si>
    <t>AUT-1102</t>
  </si>
  <si>
    <t xml:space="preserve">PAN-OS REST API</t>
  </si>
  <si>
    <t xml:space="preserve">Build authenticated CRUD workflows and handle errors, jobs and idempotency.</t>
  </si>
  <si>
    <t xml:space="preserve">REST API; objects; policies; jobs; error handling; idempotency</t>
  </si>
  <si>
    <t xml:space="preserve">1 current PA-VM + API runner</t>
  </si>
  <si>
    <t xml:space="preserve">Future newer PA-VM preferred</t>
  </si>
  <si>
    <t>Debian/Python</t>
  </si>
  <si>
    <t xml:space="preserve">REST API version compatibility</t>
  </si>
  <si>
    <t xml:space="preserve">Implement pan-os rest api from requirements and a clean baseline.</t>
  </si>
  <si>
    <t xml:space="preserve">Before testing, document expected control-plane, session, policy and packet-forwarding state for: REST API; objects; policies; jobs; error handling; idempotency.</t>
  </si>
  <si>
    <t xml:space="preserve">Inject 2-4 realistic faults involving REST API; objects; policies; jobs; error handling; idempotency; at least one must create a misleading symptom.</t>
  </si>
  <si>
    <t xml:space="preserve">Defend the design choice for PAN-OS REST API: scale, failure domain, security effect, operations, licensing and rollback.</t>
  </si>
  <si>
    <t>AUT-1103</t>
  </si>
  <si>
    <t xml:space="preserve">Python SDK Automation</t>
  </si>
  <si>
    <t xml:space="preserve">Use pan-os-python or equivalent SDK for repeatable objects, policies and operational checks.</t>
  </si>
  <si>
    <t xml:space="preserve">Python SDK; object model; commits; exceptions; testing</t>
  </si>
  <si>
    <t xml:space="preserve">1 PA-VM + Python runner</t>
  </si>
  <si>
    <t xml:space="preserve">Python dependencies</t>
  </si>
  <si>
    <t xml:space="preserve">Implement python sdk automation from requirements and a clean baseline.</t>
  </si>
  <si>
    <t xml:space="preserve">Before testing, document expected control-plane, session, policy and packet-forwarding state for: Python SDK; object model; commits; exceptions; testing.</t>
  </si>
  <si>
    <t xml:space="preserve">Inject 2-4 realistic faults involving Python SDK; object model; commits; exceptions; testing; at least one must create a misleading symptom.</t>
  </si>
  <si>
    <t xml:space="preserve">Defend the design choice for Python SDK Automation: scale, failure domain, security effect, operations, licensing and rollback.</t>
  </si>
  <si>
    <t>AUT-1104</t>
  </si>
  <si>
    <t xml:space="preserve">Ansible for PAN-OS</t>
  </si>
  <si>
    <t xml:space="preserve">Create idempotent playbooks, inventories, secrets handling, validation and rollback.</t>
  </si>
  <si>
    <t xml:space="preserve">Ansible collections; idempotency; vault; check mode; commits</t>
  </si>
  <si>
    <t xml:space="preserve">1 PA-VM + Ansible runner</t>
  </si>
  <si>
    <t xml:space="preserve">Ansible collection</t>
  </si>
  <si>
    <t xml:space="preserve">Implement ansible for pan-os from requirements and a clean baseline.</t>
  </si>
  <si>
    <t xml:space="preserve">Before testing, document expected control-plane, session, policy and packet-forwarding state for: Ansible collections; idempotency; vault; check mode; commits.</t>
  </si>
  <si>
    <t xml:space="preserve">Inject 2-4 realistic faults involving Ansible collections; idempotency; vault; check mode; commits; at least one must create a misleading symptom.</t>
  </si>
  <si>
    <t xml:space="preserve">Defend the design choice for Ansible for PAN-OS: scale, failure domain, security effect, operations, licensing and rollback.</t>
  </si>
  <si>
    <t>AUT-1105</t>
  </si>
  <si>
    <t xml:space="preserve">Terraform and Declarative Management</t>
  </si>
  <si>
    <t xml:space="preserve">Model firewall/Panorama configuration, state, drift and change review.</t>
  </si>
  <si>
    <t xml:space="preserve">Terraform provider; state; plan/apply; drift; import; secrets</t>
  </si>
  <si>
    <t xml:space="preserve">PA-VM or future Panorama + runner</t>
  </si>
  <si>
    <t xml:space="preserve">Debian; future Panorama</t>
  </si>
  <si>
    <t xml:space="preserve">Provider/version compatibility</t>
  </si>
  <si>
    <t xml:space="preserve">Implement terraform and declarative management from requirements and a clean baseline.</t>
  </si>
  <si>
    <t xml:space="preserve">Before testing, document expected control-plane, session, policy and packet-forwarding state for: Terraform provider; state; plan/apply; drift; import; secrets.</t>
  </si>
  <si>
    <t xml:space="preserve">Inject 2-4 realistic faults involving Terraform provider; state; plan/apply; drift; import; secrets; at least one must create a misleading symptom.</t>
  </si>
  <si>
    <t xml:space="preserve">Defend the design choice for Terraform and Declarative Management: scale, failure domain, security effect, operations, licensing and rollback.</t>
  </si>
  <si>
    <t>Architect</t>
  </si>
  <si>
    <t>AUT-1106</t>
  </si>
  <si>
    <t xml:space="preserve">NetBox and NSO Integration</t>
  </si>
  <si>
    <t xml:space="preserve">Generate validated objects/policy inputs from a source of truth and compare orchestration models.</t>
  </si>
  <si>
    <t xml:space="preserve">NetBox; NSO; source of truth; intent; reconciliation; audit</t>
  </si>
  <si>
    <t xml:space="preserve">PA-VM + NetBox + NSO</t>
  </si>
  <si>
    <t xml:space="preserve">netboxcommunity/netbox; andrewohanian1/nso:6.1</t>
  </si>
  <si>
    <t xml:space="preserve">Integration coding</t>
  </si>
  <si>
    <t xml:space="preserve">Implement netbox and nso integration from requirements and a clean baseline.</t>
  </si>
  <si>
    <t xml:space="preserve">Before testing, document expected control-plane, session, policy and packet-forwarding state for: NetBox; NSO; source of truth; intent; reconciliation; audit.</t>
  </si>
  <si>
    <t xml:space="preserve">Inject 2-4 realistic faults involving NetBox; NSO; source of truth; intent; reconciliation; audit; at least one must create a misleading symptom.</t>
  </si>
  <si>
    <t xml:space="preserve">Defend the design choice for NetBox and NSO Integration: scale, failure domain, security effect, operations, licensing and rollback.</t>
  </si>
  <si>
    <t>AUT-1107</t>
  </si>
  <si>
    <t xml:space="preserve">Firewall CI/CD and Policy-as-Code</t>
  </si>
  <si>
    <t xml:space="preserve">Build lint, test, approval, deployment and rollback stages with evidence gates.</t>
  </si>
  <si>
    <t xml:space="preserve">Git; CI/CD; schema validation; policy tests; canary; rollback</t>
  </si>
  <si>
    <t xml:space="preserve">PA-VM + automation stack</t>
  </si>
  <si>
    <t xml:space="preserve">Debian; Git; NetBox/NSO</t>
  </si>
  <si>
    <t xml:space="preserve">CI runner and test fixtures</t>
  </si>
  <si>
    <t xml:space="preserve">AUT-1103 to AUT-1106</t>
  </si>
  <si>
    <t xml:space="preserve">Implement firewall ci/cd and policy-as-code from requirements and a clean baseline.</t>
  </si>
  <si>
    <t xml:space="preserve">Before testing, document expected control-plane, session, policy and packet-forwarding state for: Git; CI/CD; schema validation; policy tests; canary; rollback.</t>
  </si>
  <si>
    <t xml:space="preserve">Inject 2-4 realistic faults involving Git; CI/CD; schema validation; policy tests; canary; rollback; at least one must create a misleading symptom.</t>
  </si>
  <si>
    <t xml:space="preserve">Defend the design choice for Firewall CI/CD and Policy-as-Code: scale, failure domain, security effect, operations, licensing and rollback.</t>
  </si>
  <si>
    <t>ADV-1201</t>
  </si>
  <si>
    <t xml:space="preserve">VM-Series Bootstrap and Lifecycle</t>
  </si>
  <si>
    <t xml:space="preserve">Automate first boot, licensing concepts, interfaces, HA and cloud-init/bootstrap choices.</t>
  </si>
  <si>
    <t xml:space="preserve">VM-Series; bootstrap; licensing; interfaces; image lifecycle</t>
  </si>
  <si>
    <t xml:space="preserve">PA-VM/VM-Series + services</t>
  </si>
  <si>
    <t xml:space="preserve">Future current VM-Series image</t>
  </si>
  <si>
    <t xml:space="preserve">Current image/cloud metadata for full lab</t>
  </si>
  <si>
    <t xml:space="preserve">FND-105; AUT-1101</t>
  </si>
  <si>
    <t xml:space="preserve">Implement vm-series bootstrap and lifecycle from requirements and a clean baseline.</t>
  </si>
  <si>
    <t xml:space="preserve">Before testing, document expected control-plane, session, policy and packet-forwarding state for: VM-Series; bootstrap; licensing; interfaces; image lifecycle.</t>
  </si>
  <si>
    <t xml:space="preserve">Inject 2-4 realistic faults involving VM-Series; bootstrap; licensing; interfaces; image lifecycle; at least one must create a misleading symptom.</t>
  </si>
  <si>
    <t xml:space="preserve">Defend the design choice for VM-Series Bootstrap and Lifecycle: scale, failure domain, security effect, operations, licensing and rollback.</t>
  </si>
  <si>
    <t>ADV-1202</t>
  </si>
  <si>
    <t xml:space="preserve">CN-Series on Kubernetes</t>
  </si>
  <si>
    <t xml:space="preserve">Deploy and inspect CN-Series components, service insertion and policy flow in minikube.</t>
  </si>
  <si>
    <t xml:space="preserve">CN-Series; Kubernetes; CNI; service insertion; scaling; logging</t>
  </si>
  <si>
    <t xml:space="preserve">minikube + CN-Series + test workloads</t>
  </si>
  <si>
    <t>gcr.io/pan-cn-series/panos_cn_ngfw:10.2.18</t>
  </si>
  <si>
    <t>gcr.io/k8s-minikube/kicbase:v0.0.48</t>
  </si>
  <si>
    <t>License/manifests/resources</t>
  </si>
  <si>
    <t xml:space="preserve">POL-305; AUT-1107</t>
  </si>
  <si>
    <t xml:space="preserve">Implement cn-series on kubernetes from requirements and a clean baseline.</t>
  </si>
  <si>
    <t xml:space="preserve">Before testing, document expected control-plane, session, policy and packet-forwarding state for: CN-Series; Kubernetes; CNI; service insertion; scaling; logging.</t>
  </si>
  <si>
    <t xml:space="preserve">Inject 2-4 realistic faults involving CN-Series; Kubernetes; CNI; service insertion; scaling; logging; at least one must create a misleading symptom.</t>
  </si>
  <si>
    <t xml:space="preserve">Defend the design choice for CN-Series on Kubernetes: scale, failure domain, security effect, operations, licensing and rollback.</t>
  </si>
  <si>
    <t>ADV-1203</t>
  </si>
  <si>
    <t xml:space="preserve">Public Cloud NGFW Architecture</t>
  </si>
  <si>
    <t xml:space="preserve">Design AWS/Azure insertion, routing, scale-out, availability and logging; lab where accounts exist.</t>
  </si>
  <si>
    <t xml:space="preserve">AWS/Azure; GWLB; transit; routing; autoscaling; cloud logging</t>
  </si>
  <si>
    <t xml:space="preserve">Cloud sandbox + VM/Cloud NGFW</t>
  </si>
  <si>
    <t xml:space="preserve">Future cloud entitlement/current VM-Series</t>
  </si>
  <si>
    <t xml:space="preserve">Terraform runner</t>
  </si>
  <si>
    <t xml:space="preserve">Cloud account/subscription</t>
  </si>
  <si>
    <t xml:space="preserve">ADV-1201; AUT-1105</t>
  </si>
  <si>
    <t xml:space="preserve">Implement public cloud ngfw architecture from requirements and a clean baseline.</t>
  </si>
  <si>
    <t xml:space="preserve">Before testing, document expected control-plane, session, policy and packet-forwarding state for: AWS/Azure; GWLB; transit; routing; autoscaling; cloud logging.</t>
  </si>
  <si>
    <t xml:space="preserve">Inject 2-4 realistic faults involving AWS/Azure; GWLB; transit; routing; autoscaling; cloud logging; at least one must create a misleading symptom.</t>
  </si>
  <si>
    <t xml:space="preserve">Defend the design choice for Public Cloud NGFW Architecture: scale, failure domain, security effect, operations, licensing and rollback.</t>
  </si>
  <si>
    <t xml:space="preserve">Network Security Architect</t>
  </si>
  <si>
    <t>ADV-1204</t>
  </si>
  <si>
    <t xml:space="preserve">PAN-OS SD-WAN</t>
  </si>
  <si>
    <t xml:space="preserve">Build branch hubs, path quality, traffic distribution and failure policy where licensed.</t>
  </si>
  <si>
    <t xml:space="preserve">PAN-OS SD-WAN; path quality; profiles; hubs; failover</t>
  </si>
  <si>
    <t xml:space="preserve">3+ PA-VMs or Panorama-managed lab</t>
  </si>
  <si>
    <t xml:space="preserve">VyOS ISP underlay</t>
  </si>
  <si>
    <t xml:space="preserve">SD-WAN/Panorama license and images</t>
  </si>
  <si>
    <t xml:space="preserve">VPN-703; PAN-905</t>
  </si>
  <si>
    <t xml:space="preserve">Implement pan-os sd-wan from requirements and a clean baseline.</t>
  </si>
  <si>
    <t xml:space="preserve">Before testing, document expected control-plane, session, policy and packet-forwarding state for: PAN-OS SD-WAN; path quality; profiles; hubs; failover.</t>
  </si>
  <si>
    <t xml:space="preserve">Inject 2-4 realistic faults involving PAN-OS SD-WAN; path quality; profiles; hubs; failover; at least one must create a misleading symptom.</t>
  </si>
  <si>
    <t xml:space="preserve">Defend the design choice for PAN-OS SD-WAN: scale, failure domain, security effect, operations, licensing and rollback.</t>
  </si>
  <si>
    <t xml:space="preserve">SD-WAN Engineer / Architect</t>
  </si>
  <si>
    <t>ADV-1205</t>
  </si>
  <si>
    <t xml:space="preserve">Prisma Access and Strata Cloud Manager</t>
  </si>
  <si>
    <t xml:space="preserve">Design onboarding, policy hierarchy, service connections, remote networks and operations.</t>
  </si>
  <si>
    <t xml:space="preserve">Prisma Access; SCM; service connections; remote networks; logging</t>
  </si>
  <si>
    <t xml:space="preserve">Cloud tenant + branch/remote endpoints</t>
  </si>
  <si>
    <t xml:space="preserve">Cloud-managed service</t>
  </si>
  <si>
    <t xml:space="preserve">PA-VM/VyOS endpoints</t>
  </si>
  <si>
    <t xml:space="preserve">Prisma Access/SCM tenant</t>
  </si>
  <si>
    <t xml:space="preserve">VPN-705; PAN-905</t>
  </si>
  <si>
    <t xml:space="preserve">Implement prisma access and strata cloud manager from requirements and a clean baseline.</t>
  </si>
  <si>
    <t xml:space="preserve">Before testing, document expected control-plane, session, policy and packet-forwarding state for: Prisma Access; SCM; service connections; remote networks; logging.</t>
  </si>
  <si>
    <t xml:space="preserve">Inject 2-4 realistic faults involving Prisma Access; SCM; service connections; remote networks; logging; at least one must create a misleading symptom.</t>
  </si>
  <si>
    <t xml:space="preserve">Defend the design choice for Prisma Access and Strata Cloud Manager: scale, failure domain, security effect, operations, licensing and rollback.</t>
  </si>
  <si>
    <t>ADV-1206</t>
  </si>
  <si>
    <t xml:space="preserve">Cisco ACI East-West Service Insertion</t>
  </si>
  <si>
    <t xml:space="preserve">Design and validate ACI service graph/PBR flows through Palo Alto without asymmetric return.</t>
  </si>
  <si>
    <t xml:space="preserve">ACI; service graph; PBR; symmetric policy; health tracking; VRF/EPG</t>
  </si>
  <si>
    <t xml:space="preserve">ACI simulator/project design + PA-VM pair</t>
  </si>
  <si>
    <t xml:space="preserve">Cisco NX-OS; network-multitool</t>
  </si>
  <si>
    <t xml:space="preserve">ACI environment or design simulation</t>
  </si>
  <si>
    <t xml:space="preserve">NAT-403; HA-803; OPS-1004</t>
  </si>
  <si>
    <t xml:space="preserve">Implement cisco aci east-west service insertion from requirements and a clean baseline.</t>
  </si>
  <si>
    <t xml:space="preserve">Before testing, document expected control-plane, session, policy and packet-forwarding state for: ACI; service graph; PBR; symmetric policy; health tracking; VRF/EPG.</t>
  </si>
  <si>
    <t xml:space="preserve">Inject 2-4 realistic faults involving ACI; service graph; PBR; symmetric policy; health tracking; VRF/EPG; at least one must create a misleading symptom.</t>
  </si>
  <si>
    <t xml:space="preserve">Defend the design choice for Cisco ACI East-West Service Insertion: scale, failure domain, security effect, operations, licensing and rollback.</t>
  </si>
  <si>
    <t>ADV-1207</t>
  </si>
  <si>
    <t xml:space="preserve">Zero Trust and CDSS Architecture</t>
  </si>
  <si>
    <t xml:space="preserve">Map users, apps, content, devices and least privilege to measurable controls.</t>
  </si>
  <si>
    <t xml:space="preserve">Zero Trust; App-ID; User-ID; Device-ID; CDSS; telemetry; policy lifecycle</t>
  </si>
  <si>
    <t xml:space="preserve">Design workshop + representative PA-VM labs</t>
  </si>
  <si>
    <t xml:space="preserve">Future cloud-delivered services</t>
  </si>
  <si>
    <t xml:space="preserve">Subscriptions for full validation</t>
  </si>
  <si>
    <t xml:space="preserve">POL-308; ID-505; DEC-606</t>
  </si>
  <si>
    <t xml:space="preserve">Implement zero trust and cdss architecture from requirements and a clean baseline.</t>
  </si>
  <si>
    <t xml:space="preserve">Before testing, document expected control-plane, session, policy and packet-forwarding state for: Zero Trust; App-ID; User-ID; Device-ID; CDSS; telemetry; policy lifecycle.</t>
  </si>
  <si>
    <t xml:space="preserve">Inject 2-4 realistic faults involving Zero Trust; App-ID; User-ID; Device-ID; CDSS; telemetry; policy lifecycle; at least one must create a misleading symptom.</t>
  </si>
  <si>
    <t xml:space="preserve">Defend the design choice for Zero Trust and CDSS Architecture: scale, failure domain, security effect, operations, licensing and rollback.</t>
  </si>
  <si>
    <t>ADV-1208</t>
  </si>
  <si>
    <t xml:space="preserve">Enterprise Platform Selection and Migration</t>
  </si>
  <si>
    <t xml:space="preserve">Choose hardware, VM-Series, CN-Series or cloud-managed platforms and plan migration.</t>
  </si>
  <si>
    <t xml:space="preserve">Sizing; throughput; session scale; subscriptions; migration; operations; DR</t>
  </si>
  <si>
    <t xml:space="preserve">Design case studies + selected lab validation</t>
  </si>
  <si>
    <t xml:space="preserve">Mixed/future images</t>
  </si>
  <si>
    <t xml:space="preserve">PA-VM; CN-Series; cloud services</t>
  </si>
  <si>
    <t xml:space="preserve">Datasheets and target requirements</t>
  </si>
  <si>
    <t xml:space="preserve">HA-806; PAN-907; ADV-1201 to 1207</t>
  </si>
  <si>
    <t xml:space="preserve">Implement enterprise platform selection and migration from requirements and a clean baseline.</t>
  </si>
  <si>
    <t xml:space="preserve">Before testing, document expected control-plane, session, policy and packet-forwarding state for: Sizing; throughput; session scale; subscriptions; migration; operations; DR.</t>
  </si>
  <si>
    <t xml:space="preserve">Inject 2-4 realistic faults involving Sizing; throughput; session scale; subscriptions; migration; operations; DR; at least one must create a misleading symptom.</t>
  </si>
  <si>
    <t xml:space="preserve">Defend the design choice for Enterprise Platform Selection and Migration: scale, failure domain, security effect, operations, licensing and rollback.</t>
  </si>
  <si>
    <t>SL-1301</t>
  </si>
  <si>
    <t xml:space="preserve">Enterprise Internet Edge Build</t>
  </si>
  <si>
    <t xml:space="preserve">Build dual-ISP, BGP, HA, App-ID, NAT, decryption and logging from requirements.</t>
  </si>
  <si>
    <t xml:space="preserve">HA; BGP; NAT; App-ID; profiles; decryption; logging</t>
  </si>
  <si>
    <t xml:space="preserve">2 PA-VMs + 2 ISPs + users + DMZ</t>
  </si>
  <si>
    <t xml:space="preserve">VyOS/cRPD; nginx; traffic tools</t>
  </si>
  <si>
    <t xml:space="preserve">Two PA-VMs recommended</t>
  </si>
  <si>
    <t xml:space="preserve">Core phases 0-7</t>
  </si>
  <si>
    <t xml:space="preserve">Implement enterprise internet edge build from requirements and a clean baseline.</t>
  </si>
  <si>
    <t xml:space="preserve">Before testing, document expected control-plane, session, policy and packet-forwarding state for: HA; BGP; NAT; App-ID; profiles; decryption; logging.</t>
  </si>
  <si>
    <t xml:space="preserve">Inject 2-4 realistic faults involving HA; BGP; NAT; App-ID; profiles; decryption; logging; at least one must create a misleading symptom.</t>
  </si>
  <si>
    <t xml:space="preserve">Defend the design choice for Enterprise Internet Edge Build: scale, failure domain, security effect, operations, licensing and rollback.</t>
  </si>
  <si>
    <t>SL-1302</t>
  </si>
  <si>
    <t xml:space="preserve">Branch-to-DC Secure Connectivity</t>
  </si>
  <si>
    <t xml:space="preserve">Deliver redundant VPN, dynamic routing, segmentation, User-ID and centralized observability.</t>
  </si>
  <si>
    <t xml:space="preserve">IPsec; BGP; routing failover; identity; policy; logs</t>
  </si>
  <si>
    <t xml:space="preserve">3 PA-VMs + routing underlay + identity</t>
  </si>
  <si>
    <t xml:space="preserve">VyOS; RADIUS; Debian</t>
  </si>
  <si>
    <t xml:space="preserve">VPN-703; ID-505; OPS-1004</t>
  </si>
  <si>
    <t xml:space="preserve">Implement branch-to-dc secure connectivity from requirements and a clean baseline.</t>
  </si>
  <si>
    <t xml:space="preserve">Before testing, document expected control-plane, session, policy and packet-forwarding state for: IPsec; BGP; routing failover; identity; policy; logs.</t>
  </si>
  <si>
    <t xml:space="preserve">Inject 2-4 realistic faults involving IPsec; BGP; routing failover; identity; policy; logs; at least one must create a misleading symptom.</t>
  </si>
  <si>
    <t xml:space="preserve">Defend the design choice for Branch-to-DC Secure Connectivity: scale, failure domain, security effect, operations, licensing and rollback.</t>
  </si>
  <si>
    <t>SL-1303</t>
  </si>
  <si>
    <t xml:space="preserve">Panorama Fleet Rollout</t>
  </si>
  <si>
    <t xml:space="preserve">Onboard firewalls, build hierarchy, push policy/network templates and recover from drift.</t>
  </si>
  <si>
    <t xml:space="preserve">Panorama; Device Groups; templates; commit; overrides; logging</t>
  </si>
  <si>
    <t xml:space="preserve">Panorama + 4 PA-VMs</t>
  </si>
  <si>
    <t xml:space="preserve">Multiple PA-VMs; syslog</t>
  </si>
  <si>
    <t xml:space="preserve">Panorama environment</t>
  </si>
  <si>
    <t xml:space="preserve">PAN-901 to PAN-907</t>
  </si>
  <si>
    <t xml:space="preserve">Implement panorama fleet rollout from requirements and a clean baseline.</t>
  </si>
  <si>
    <t xml:space="preserve">Before testing, document expected control-plane, session, policy and packet-forwarding state for: Panorama; Device Groups; templates; commit; overrides; logging.</t>
  </si>
  <si>
    <t xml:space="preserve">Inject 2-4 realistic faults involving Panorama; Device Groups; templates; commit; overrides; logging; at least one must create a misleading symptom.</t>
  </si>
  <si>
    <t xml:space="preserve">Defend the design choice for Panorama Fleet Rollout: scale, failure domain, security effect, operations, licensing and rollback.</t>
  </si>
  <si>
    <t>SL-1304</t>
  </si>
  <si>
    <t xml:space="preserve">Unknown-Fault Incident</t>
  </si>
  <si>
    <t xml:space="preserve">Restore an enterprise firewall service with 4-6 interacting hidden faults under time pressure.</t>
  </si>
  <si>
    <t xml:space="preserve">Evidence triage; route; NAT; policy; identity; decryption; HA; VPN</t>
  </si>
  <si>
    <t xml:space="preserve">Reusable enterprise topology</t>
  </si>
  <si>
    <t xml:space="preserve">Packet capture; traffic generators</t>
  </si>
  <si>
    <t xml:space="preserve">Fault pack prepared by another person/session</t>
  </si>
  <si>
    <t xml:space="preserve">OPS-1001 to OPS-1008</t>
  </si>
  <si>
    <t xml:space="preserve">Implement unknown-fault incident from requirements and a clean baseline.</t>
  </si>
  <si>
    <t xml:space="preserve">Before testing, document expected control-plane, session, policy and packet-forwarding state for: Evidence triage; route; NAT; policy; identity; decryption; HA; VPN.</t>
  </si>
  <si>
    <t xml:space="preserve">Inject 2-4 realistic faults involving Evidence triage; route; NAT; policy; identity; decryption; HA; VPN; at least one must create a misleading symptom.</t>
  </si>
  <si>
    <t xml:space="preserve">Defend the design choice for Unknown-Fault Incident: scale, failure domain, security effect, operations, licensing and rollback.</t>
  </si>
  <si>
    <t>SL-1305</t>
  </si>
  <si>
    <t xml:space="preserve">Automated Change Pipeline</t>
  </si>
  <si>
    <t xml:space="preserve">Deploy an application safely from source of truth through validation, approval and rollback.</t>
  </si>
  <si>
    <t xml:space="preserve">API; Python/Ansible/Terraform; CI/CD; NetBox; audit</t>
  </si>
  <si>
    <t xml:space="preserve">NetBox; NSO; Debian</t>
  </si>
  <si>
    <t xml:space="preserve">Automation dependencies</t>
  </si>
  <si>
    <t xml:space="preserve">AUT-1101 to AUT-1107</t>
  </si>
  <si>
    <t xml:space="preserve">Implement automated change pipeline from requirements and a clean baseline.</t>
  </si>
  <si>
    <t xml:space="preserve">Before testing, document expected control-plane, session, policy and packet-forwarding state for: API; Python/Ansible/Terraform; CI/CD; NetBox; audit.</t>
  </si>
  <si>
    <t xml:space="preserve">Inject 2-4 realistic faults involving API; Python/Ansible/Terraform; CI/CD; NetBox; audit; at least one must create a misleading symptom.</t>
  </si>
  <si>
    <t xml:space="preserve">Defend the design choice for Automated Change Pipeline: scale, failure domain, security effect, operations, licensing and rollback.</t>
  </si>
  <si>
    <t>SL-1306</t>
  </si>
  <si>
    <t xml:space="preserve">ACI East-West Security Architecture</t>
  </si>
  <si>
    <t xml:space="preserve">Produce and defend a two-EPG east-west inspection design with HA Palo Alto and failure testing.</t>
  </si>
  <si>
    <t xml:space="preserve">ACI PBR; service graph; symmetric flow; HA; operations; migration</t>
  </si>
  <si>
    <t xml:space="preserve">ACI environment/design + PA-VM HA</t>
  </si>
  <si>
    <t xml:space="preserve">NX-OS; traffic endpoints</t>
  </si>
  <si>
    <t xml:space="preserve">ACI access for full validation</t>
  </si>
  <si>
    <t xml:space="preserve">ADV-1206; HA-806</t>
  </si>
  <si>
    <t xml:space="preserve">Implement aci east-west security architecture from requirements and a clean baseline.</t>
  </si>
  <si>
    <t xml:space="preserve">Before testing, document expected control-plane, session, policy and packet-forwarding state for: ACI PBR; service graph; symmetric flow; HA; operations; migration.</t>
  </si>
  <si>
    <t xml:space="preserve">Inject 2-4 realistic faults involving ACI PBR; service graph; symmetric flow; HA; operations; migration; at least one must create a misleading symptom.</t>
  </si>
  <si>
    <t xml:space="preserve">Defend the design choice for ACI East-West Security Architecture: scale, failure domain, security effect, operations, licensing and rollback.</t>
  </si>
  <si>
    <t xml:space="preserve">LAB IMAGE &amp; DEPENDENCY MATRIX</t>
  </si>
  <si>
    <t xml:space="preserve">Available images are accelerators. Missing platforms remain planned future dependencies and never remove a learning objective.</t>
  </si>
  <si>
    <t xml:space="preserve">Image / Platform</t>
  </si>
  <si>
    <t>Availability</t>
  </si>
  <si>
    <t xml:space="preserve">Preferred Role</t>
  </si>
  <si>
    <t xml:space="preserve">Best Use</t>
  </si>
  <si>
    <t>Strength</t>
  </si>
  <si>
    <t>Limitation</t>
  </si>
  <si>
    <t>Priority</t>
  </si>
  <si>
    <t xml:space="preserve">Roadmap Coverage</t>
  </si>
  <si>
    <t>Recommendation</t>
  </si>
  <si>
    <t>AVAILABLE</t>
  </si>
  <si>
    <t xml:space="preserve">Primary PAN-OS firewall</t>
  </si>
  <si>
    <t xml:space="preserve">Core PAN-OS configuration, policy, NAT, VPN, troubleshooting</t>
  </si>
  <si>
    <t xml:space="preserve">Full license reported by user</t>
  </si>
  <si>
    <t xml:space="preserve">Older PAN-OS; validate current UI/features separately</t>
  </si>
  <si>
    <t>PRIMARY</t>
  </si>
  <si>
    <t xml:space="preserve">Most core labs</t>
  </si>
  <si>
    <t xml:space="preserve">Keep as immediate baseline</t>
  </si>
  <si>
    <t>arthurk99/paloalto-pa-vm:10.1.0</t>
  </si>
  <si>
    <t xml:space="preserve">Alternate PA-VM wrapper</t>
  </si>
  <si>
    <t xml:space="preserve">Second instance / HA / VPN peer</t>
  </si>
  <si>
    <t xml:space="preserve">Same PAN-OS family</t>
  </si>
  <si>
    <t xml:space="preserve">Resource use and duplicate image</t>
  </si>
  <si>
    <t xml:space="preserve">HA and multi-firewall labs</t>
  </si>
  <si>
    <t xml:space="preserve">Use when topology wrapper differs</t>
  </si>
  <si>
    <t xml:space="preserve">CN-Series dataplane</t>
  </si>
  <si>
    <t xml:space="preserve">Kubernetes security and service insertion</t>
  </si>
  <si>
    <t xml:space="preserve">Pairs with minikube image</t>
  </si>
  <si>
    <t xml:space="preserve">Requires manifests, license and host resources</t>
  </si>
  <si>
    <t>SPECIALIST</t>
  </si>
  <si>
    <t xml:space="preserve">Validate support matrix first</t>
  </si>
  <si>
    <t xml:space="preserve">Kubernetes lab base</t>
  </si>
  <si>
    <t xml:space="preserve">CN-Series practice workloads/control plane</t>
  </si>
  <si>
    <t xml:space="preserve">Already installed</t>
  </si>
  <si>
    <t xml:space="preserve">May require more CPU/RAM</t>
  </si>
  <si>
    <t>SUPPORT</t>
  </si>
  <si>
    <t xml:space="preserve">Useful future lab</t>
  </si>
  <si>
    <t xml:space="preserve">debian:bookworm-slim / alpine:latest</t>
  </si>
  <si>
    <t xml:space="preserve">General services and automation</t>
  </si>
  <si>
    <t xml:space="preserve">DNS, NTP, syslog, CA, API, Python, test apps</t>
  </si>
  <si>
    <t xml:space="preserve">Lightweight and flexible</t>
  </si>
  <si>
    <t xml:space="preserve">Services need startup configuration</t>
  </si>
  <si>
    <t>ESSENTIAL</t>
  </si>
  <si>
    <t xml:space="preserve">All phases</t>
  </si>
  <si>
    <t xml:space="preserve">Standard utility baseline</t>
  </si>
  <si>
    <t>ghcr.io/srl-labs/network-multitool:latest</t>
  </si>
  <si>
    <t xml:space="preserve">Traffic endpoint</t>
  </si>
  <si>
    <t xml:space="preserve">ping, curl, DNS, iperf, packet capture</t>
  </si>
  <si>
    <t xml:space="preserve">Excellent acceptance-test node</t>
  </si>
  <si>
    <t xml:space="preserve">Not a full user desktop</t>
  </si>
  <si>
    <t xml:space="preserve">Most labs</t>
  </si>
  <si>
    <t xml:space="preserve">Use for deterministic checks</t>
  </si>
  <si>
    <t>ghcr.io/kaelemc/wireshark-vnc-docker:latest</t>
  </si>
  <si>
    <t xml:space="preserve">Packet analysis workstation</t>
  </si>
  <si>
    <t xml:space="preserve">PCAP inspection and protocol evidence</t>
  </si>
  <si>
    <t xml:space="preserve">Visual packet analysis</t>
  </si>
  <si>
    <t xml:space="preserve">Desktop overhead</t>
  </si>
  <si>
    <t>Troubleshooting/decryption/VPN</t>
  </si>
  <si>
    <t xml:space="preserve">Use for evidence capture</t>
  </si>
  <si>
    <t xml:space="preserve">ghcr.io/siemens/packetflix:latest / ghostwire:latest</t>
  </si>
  <si>
    <t xml:space="preserve">Traffic observability</t>
  </si>
  <si>
    <t xml:space="preserve">Flow generation/visualization</t>
  </si>
  <si>
    <t>Container-native</t>
  </si>
  <si>
    <t xml:space="preserve">Not hardware performance testing</t>
  </si>
  <si>
    <t xml:space="preserve">DoS, HA, troubleshooting</t>
  </si>
  <si>
    <t xml:space="preserve">Use for behavior, not benchmarks</t>
  </si>
  <si>
    <t xml:space="preserve">akhmadkun/myradius:latest / freeradius</t>
  </si>
  <si>
    <t xml:space="preserve">RADIUS service</t>
  </si>
  <si>
    <t xml:space="preserve">Admin AAA, GlobalProtect, captive portal</t>
  </si>
  <si>
    <t xml:space="preserve">Immediately usable</t>
  </si>
  <si>
    <t xml:space="preserve">Requires test users/secrets</t>
  </si>
  <si>
    <t>FND/ID/VPN</t>
  </si>
  <si>
    <t xml:space="preserve">Primary AAA option</t>
  </si>
  <si>
    <t xml:space="preserve">akhmadkun/mytacacs:latest / lfkeitel/tacacs_plus</t>
  </si>
  <si>
    <t xml:space="preserve">TACACS+ service</t>
  </si>
  <si>
    <t xml:space="preserve">Admin authentication and authorization</t>
  </si>
  <si>
    <t xml:space="preserve">Vendor attribute tuning may be needed</t>
  </si>
  <si>
    <t xml:space="preserve">Cross-check role mapping</t>
  </si>
  <si>
    <t xml:space="preserve">nginx:alpine / ubuntu-nginx</t>
  </si>
  <si>
    <t xml:space="preserve">Web/TLS application</t>
  </si>
  <si>
    <t xml:space="preserve">DNAT, App-ID, URL, decryption, file tests</t>
  </si>
  <si>
    <t xml:space="preserve">Simple and reproducible</t>
  </si>
  <si>
    <t xml:space="preserve">Not a broad SaaS mix</t>
  </si>
  <si>
    <t>POL/NAT/DEC</t>
  </si>
  <si>
    <t xml:space="preserve">Add controlled TLS certs</t>
  </si>
  <si>
    <t xml:space="preserve">VyOS / cSRX / FortiOS</t>
  </si>
  <si>
    <t xml:space="preserve">Routing and security peers</t>
  </si>
  <si>
    <t xml:space="preserve">BGP/OSPF, VPN interoperability, cross-vendor comparison</t>
  </si>
  <si>
    <t xml:space="preserve">Several choices installed</t>
  </si>
  <si>
    <t xml:space="preserve">Feature behavior differs from PAN-OS</t>
  </si>
  <si>
    <t>NET/VPN/HA</t>
  </si>
  <si>
    <t xml:space="preserve">Prefer VyOS/cSRX for light peers</t>
  </si>
  <si>
    <t xml:space="preserve">Cisco XRd / vJunos / cRPD / SR Linux</t>
  </si>
  <si>
    <t xml:space="preserve">Provider/enterprise routing peers</t>
  </si>
  <si>
    <t xml:space="preserve">BGP, OSPF, resilient underlays, ACI-adjacent routing</t>
  </si>
  <si>
    <t xml:space="preserve">Strong routing variety</t>
  </si>
  <si>
    <t xml:space="preserve">Resource needs vary</t>
  </si>
  <si>
    <t xml:space="preserve">NET/VPN/Super Labs</t>
  </si>
  <si>
    <t xml:space="preserve">Choose smallest sufficient image</t>
  </si>
  <si>
    <t>netboxcommunity/netbox:latest</t>
  </si>
  <si>
    <t xml:space="preserve">Source of truth</t>
  </si>
  <si>
    <t xml:space="preserve">Automation inputs, inventory, IPAM</t>
  </si>
  <si>
    <t xml:space="preserve">Integration code required</t>
  </si>
  <si>
    <t>AUT-1106/1107</t>
  </si>
  <si>
    <t xml:space="preserve">Use after API foundations</t>
  </si>
  <si>
    <t>andrewohanian1/nso:6.1</t>
  </si>
  <si>
    <t>Orchestrator</t>
  </si>
  <si>
    <t xml:space="preserve">Transactional deployment and service models</t>
  </si>
  <si>
    <t xml:space="preserve">NSO package development required</t>
  </si>
  <si>
    <t xml:space="preserve">Optional expert extension</t>
  </si>
  <si>
    <t xml:space="preserve">Panorama virtual appliance</t>
  </si>
  <si>
    <t xml:space="preserve">NOT YET AVAILABLE</t>
  </si>
  <si>
    <t xml:space="preserve">Central management</t>
  </si>
  <si>
    <t xml:space="preserve">Device Groups, Templates, commit, logging, fleet operations</t>
  </si>
  <si>
    <t xml:space="preserve">Critical expert domain</t>
  </si>
  <si>
    <t xml:space="preserve">Needs compatible image/license/resources</t>
  </si>
  <si>
    <t xml:space="preserve">Phase 8 + SL-1303</t>
  </si>
  <si>
    <t xml:space="preserve">Add when available; do not skip theory/design</t>
  </si>
  <si>
    <t xml:space="preserve">Newer PA-VM (supported PAN-OS)</t>
  </si>
  <si>
    <t xml:space="preserve">Current feature/lifecycle validation</t>
  </si>
  <si>
    <t xml:space="preserve">Upgrade, REST API, current UI and new behavior</t>
  </si>
  <si>
    <t xml:space="preserve">Closes 10.1-era gap</t>
  </si>
  <si>
    <t xml:space="preserve">Needs image/license</t>
  </si>
  <si>
    <t xml:space="preserve">FND-105, HA-804, OPS-1008</t>
  </si>
  <si>
    <t xml:space="preserve">Highest-value future addition</t>
  </si>
  <si>
    <t xml:space="preserve">Windows Server / AD + Windows client</t>
  </si>
  <si>
    <t xml:space="preserve">Enterprise identity and endpoint</t>
  </si>
  <si>
    <t xml:space="preserve">LDAP, User-ID, Kerberos, GlobalProtect, HIP</t>
  </si>
  <si>
    <t xml:space="preserve">Needed for realistic identity path</t>
  </si>
  <si>
    <t xml:space="preserve">Resource and licensing overhead</t>
  </si>
  <si>
    <t xml:space="preserve">ID and VPN phases</t>
  </si>
  <si>
    <t xml:space="preserve">Can begin with FreeRADIUS/OpenLDAP</t>
  </si>
  <si>
    <t xml:space="preserve">Prisma Access / Strata Cloud Manager tenant</t>
  </si>
  <si>
    <t xml:space="preserve">CLOUD SERVICE</t>
  </si>
  <si>
    <t xml:space="preserve">SASE and cloud management</t>
  </si>
  <si>
    <t xml:space="preserve">Remote networks, service connections, mobile users, operations</t>
  </si>
  <si>
    <t xml:space="preserve">Architect-level relevance</t>
  </si>
  <si>
    <t xml:space="preserve">Subscription/tenant required</t>
  </si>
  <si>
    <t xml:space="preserve">Design now; lab later</t>
  </si>
  <si>
    <t xml:space="preserve">Cloud Identity Engine / Cortex Data Lake services</t>
  </si>
  <si>
    <t xml:space="preserve">Identity and cloud logging</t>
  </si>
  <si>
    <t xml:space="preserve">Directory integration, telemetry and investigation</t>
  </si>
  <si>
    <t xml:space="preserve">Modern platform coverage</t>
  </si>
  <si>
    <t xml:space="preserve">Tenant/subscription required</t>
  </si>
  <si>
    <t xml:space="preserve">ID-504, PAN-906</t>
  </si>
  <si>
    <t xml:space="preserve">Plan integration interfaces</t>
  </si>
  <si>
    <t xml:space="preserve">AWS/Azure sandbox</t>
  </si>
  <si>
    <t xml:space="preserve">Public cloud lab</t>
  </si>
  <si>
    <t xml:space="preserve">VM-Series/Cloud NGFW insertion and automation</t>
  </si>
  <si>
    <t xml:space="preserve">Architecture and automation depth</t>
  </si>
  <si>
    <t xml:space="preserve">Cloud cost and entitlement</t>
  </si>
  <si>
    <t xml:space="preserve">Use time-boxed sandbox later</t>
  </si>
  <si>
    <t xml:space="preserve">PALO ALTO MASTERY FRAMEWORK</t>
  </si>
  <si>
    <t xml:space="preserve">The same build-to-diagnose discipline used in the JNCIE-SP roadmap, adapted for firewall policy, sessions and threat prevention.</t>
  </si>
  <si>
    <t>Stage</t>
  </si>
  <si>
    <t>Purpose</t>
  </si>
  <si>
    <t xml:space="preserve">Pass Criterion</t>
  </si>
  <si>
    <t>Evidence</t>
  </si>
  <si>
    <t xml:space="preserve">No-Google Rule</t>
  </si>
  <si>
    <t xml:space="preserve">Typical Failure Focus</t>
  </si>
  <si>
    <t xml:space="preserve">Score Gate</t>
  </si>
  <si>
    <t xml:space="preserve">Ready-to-Move-On Test</t>
  </si>
  <si>
    <t>BUILD</t>
  </si>
  <si>
    <t xml:space="preserve">Implement from requirements</t>
  </si>
  <si>
    <t xml:space="preserve">Service works from clean baseline</t>
  </si>
  <si>
    <t xml:space="preserve">Config + topology + baseline state</t>
  </si>
  <si>
    <t xml:space="preserve">Docs allowed after first attempt</t>
  </si>
  <si>
    <t xml:space="preserve">Misconfiguration prevention</t>
  </si>
  <si>
    <t>2-3</t>
  </si>
  <si>
    <t xml:space="preserve">Can build without copying a finished config</t>
  </si>
  <si>
    <t>VERIFY</t>
  </si>
  <si>
    <t xml:space="preserve">Build a correct packet-flow model</t>
  </si>
  <si>
    <t xml:space="preserve">Expected route/zone/policy/NAT/session result written before test</t>
  </si>
  <si>
    <t xml:space="preserve">CLI/GUI outputs + logs + PCAP</t>
  </si>
  <si>
    <t xml:space="preserve">No solution guide</t>
  </si>
  <si>
    <t xml:space="preserve">Control/data/security-engine correlation</t>
  </si>
  <si>
    <t>4</t>
  </si>
  <si>
    <t xml:space="preserve">Prediction matches evidence</t>
  </si>
  <si>
    <t>BREAK</t>
  </si>
  <si>
    <t xml:space="preserve">Expose hidden dependencies</t>
  </si>
  <si>
    <t xml:space="preserve">2-4 faults reproduce expected symptoms</t>
  </si>
  <si>
    <t xml:space="preserve">Fault log + symptom matrix</t>
  </si>
  <si>
    <t xml:space="preserve">No hints</t>
  </si>
  <si>
    <t xml:space="preserve">Rules, routes, NAT, identity, TLS, HA, updates</t>
  </si>
  <si>
    <t>5</t>
  </si>
  <si>
    <t xml:space="preserve">Understands common failure signatures</t>
  </si>
  <si>
    <t>DIAGNOSE</t>
  </si>
  <si>
    <t xml:space="preserve">Develop evidence-driven reasoning</t>
  </si>
  <si>
    <t xml:space="preserve">Root cause proven, not guessed</t>
  </si>
  <si>
    <t xml:space="preserve">Ranked hypotheses + command/log trail</t>
  </si>
  <si>
    <t xml:space="preserve">30 minutes no Google/ChatGPT</t>
  </si>
  <si>
    <t xml:space="preserve">Unknown or misleading symptom</t>
  </si>
  <si>
    <t>6-7</t>
  </si>
  <si>
    <t xml:space="preserve">Unseen fault solved systematically</t>
  </si>
  <si>
    <t>RESTORE</t>
  </si>
  <si>
    <t xml:space="preserve">Operate safely</t>
  </si>
  <si>
    <t xml:space="preserve">Minimum-impact fix and no regression</t>
  </si>
  <si>
    <t xml:space="preserve">Before/after acceptance evidence</t>
  </si>
  <si>
    <t xml:space="preserve">Docs allowed</t>
  </si>
  <si>
    <t xml:space="preserve">Blast radius, rollback, dependent services</t>
  </si>
  <si>
    <t>7</t>
  </si>
  <si>
    <t xml:space="preserve">Technology mastered</t>
  </si>
  <si>
    <t>DESIGN</t>
  </si>
  <si>
    <t xml:space="preserve">Move from operator to architect</t>
  </si>
  <si>
    <t xml:space="preserve">Defend choice and trade-offs</t>
  </si>
  <si>
    <t xml:space="preserve">Short design record</t>
  </si>
  <si>
    <t xml:space="preserve">Open book</t>
  </si>
  <si>
    <t xml:space="preserve">Scale, failure domain, security, licensing, operations</t>
  </si>
  <si>
    <t>8</t>
  </si>
  <si>
    <t xml:space="preserve">Can justify architecture</t>
  </si>
  <si>
    <t xml:space="preserve">AUTOMATE / INTEGRATE</t>
  </si>
  <si>
    <t xml:space="preserve">Make behavior repeatable</t>
  </si>
  <si>
    <t xml:space="preserve">Idempotent change with tests and rollback</t>
  </si>
  <si>
    <t xml:space="preserve">Code + pipeline output + audit trail</t>
  </si>
  <si>
    <t xml:space="preserve">Drift, API errors, partial commits, secrets</t>
  </si>
  <si>
    <t>8-9</t>
  </si>
  <si>
    <t xml:space="preserve">Can operate at fleet scale</t>
  </si>
  <si>
    <t xml:space="preserve">TEACH / RCA</t>
  </si>
  <si>
    <t xml:space="preserve">Prove durable expertise</t>
  </si>
  <si>
    <t xml:space="preserve">Explain why and prevent recurrence</t>
  </si>
  <si>
    <t xml:space="preserve">One-page RCA or teach-back</t>
  </si>
  <si>
    <t xml:space="preserve">No notes for first explanation</t>
  </si>
  <si>
    <t xml:space="preserve">Prevention and observability</t>
  </si>
  <si>
    <t>9-10</t>
  </si>
  <si>
    <t xml:space="preserve">Expert judgment and intuition</t>
  </si>
  <si>
    <t>Score</t>
  </si>
  <si>
    <t>Capability</t>
  </si>
  <si>
    <t>Meaning</t>
  </si>
  <si>
    <t>Ready?</t>
  </si>
  <si>
    <t>Recognize</t>
  </si>
  <si>
    <t xml:space="preserve">Can identify PAN-OS terms only</t>
  </si>
  <si>
    <t>No</t>
  </si>
  <si>
    <t>Explain</t>
  </si>
  <si>
    <t xml:space="preserve">Can explain behavior without notes</t>
  </si>
  <si>
    <t>Implement</t>
  </si>
  <si>
    <t xml:space="preserve">Can configure from a clean baseline</t>
  </si>
  <si>
    <t>Verify</t>
  </si>
  <si>
    <t xml:space="preserve">Can predict and verify packet-flow state</t>
  </si>
  <si>
    <t>Break</t>
  </si>
  <si>
    <t xml:space="preserve">Understands common fault signatures</t>
  </si>
  <si>
    <t>Diagnose</t>
  </si>
  <si>
    <t xml:space="preserve">Can solve known fault patterns systematically</t>
  </si>
  <si>
    <t>Almost</t>
  </si>
  <si>
    <t xml:space="preserve">Unknown Fault</t>
  </si>
  <si>
    <t xml:space="preserve">Can solve unseen faults with evidence</t>
  </si>
  <si>
    <t xml:space="preserve">YES — mastered</t>
  </si>
  <si>
    <t xml:space="preserve">Design + Automate</t>
  </si>
  <si>
    <t xml:space="preserve">Can defend design and automate safely</t>
  </si>
  <si>
    <t>Strong</t>
  </si>
  <si>
    <t xml:space="preserve">RCA / Teach</t>
  </si>
  <si>
    <t xml:space="preserve">Can teach and prevent recurrence</t>
  </si>
  <si>
    <t xml:space="preserve">Operational Intuition</t>
  </si>
  <si>
    <t xml:space="preserve">Consistently predicts interactions and edge cases</t>
  </si>
  <si>
    <t>Expert+</t>
  </si>
  <si>
    <t xml:space="preserve">MYSTERY TICKETS — UNKNOWN-FAULT PRACTICE</t>
  </si>
  <si>
    <t xml:space="preserve">Do the first attempt without knowing the fault domain. Use symptom → ranked hypotheses → evidence → root cause → minimal fix → regression check.</t>
  </si>
  <si>
    <t>Ticket</t>
  </si>
  <si>
    <t xml:space="preserve">Customer / NOC Symptom</t>
  </si>
  <si>
    <t xml:space="preserve">Hidden Fault Domains</t>
  </si>
  <si>
    <t xml:space="preserve">Timebox (min)</t>
  </si>
  <si>
    <t xml:space="preserve">Required Method</t>
  </si>
  <si>
    <t xml:space="preserve">Acceptance Criteria</t>
  </si>
  <si>
    <t xml:space="preserve">Cross-Vendor Repeat</t>
  </si>
  <si>
    <t xml:space="preserve">RCA / Lessons</t>
  </si>
  <si>
    <t>MT-01</t>
  </si>
  <si>
    <t>NET-204/205</t>
  </si>
  <si>
    <t xml:space="preserve">Internet reachability fails for only one subnet after routing maintenance.</t>
  </si>
  <si>
    <t xml:space="preserve">Route redistribution; virtual router; PBF; zone; return path</t>
  </si>
  <si>
    <t xml:space="preserve">Predict route/zone result before CLI; trace forward and reverse path.</t>
  </si>
  <si>
    <t xml:space="preserve">All intended prefixes restored; no route leak or policy bypass.</t>
  </si>
  <si>
    <t xml:space="preserve">Optional cSRX/FortiOS repeat</t>
  </si>
  <si>
    <t>MT-02</t>
  </si>
  <si>
    <t>POL-302/305</t>
  </si>
  <si>
    <t xml:space="preserve">Traffic is allowed but the intended application/profile protection is not applied.</t>
  </si>
  <si>
    <t xml:space="preserve">App-ID transition; application-default; dependency; profile attachment; decryption</t>
  </si>
  <si>
    <t xml:space="preserve">Trace session App-ID and policy match over time; correlate logs.</t>
  </si>
  <si>
    <t xml:space="preserve">Correct App-ID and profile enforcement proven without broad port allow.</t>
  </si>
  <si>
    <t>MT-03</t>
  </si>
  <si>
    <t>NAT-403/405</t>
  </si>
  <si>
    <t xml:space="preserve">Public service works externally but fails internally, while policy tests look inconsistent.</t>
  </si>
  <si>
    <t xml:space="preserve">U-turn NAT; zone calculation; route; proxy ARP; original/translated tuple</t>
  </si>
  <si>
    <t xml:space="preserve">Write both tuples and expected rule match before testing.</t>
  </si>
  <si>
    <t xml:space="preserve">Inside and outside access work; unintended exposure absent.</t>
  </si>
  <si>
    <t xml:space="preserve">Optional FortiOS comparison</t>
  </si>
  <si>
    <t>MT-04</t>
  </si>
  <si>
    <t>ID-501/502</t>
  </si>
  <si>
    <t xml:space="preserve">Group policy intermittently matches the wrong users on shared or stale IP mappings.</t>
  </si>
  <si>
    <t xml:space="preserve">Mapping source precedence; timeout; redistribution; group mapping</t>
  </si>
  <si>
    <t xml:space="preserve">Build mapping timeline and prove source of each entry.</t>
  </si>
  <si>
    <t xml:space="preserve">Correct user/group policy with stale mappings removed and prevention documented.</t>
  </si>
  <si>
    <t>MT-05</t>
  </si>
  <si>
    <t>DEC-602/605</t>
  </si>
  <si>
    <t xml:space="preserve">Only selected TLS applications fail after decryption rollout.</t>
  </si>
  <si>
    <t xml:space="preserve">Certificate trust; pinning; TLS version/cipher; mutual TLS; exclusion order</t>
  </si>
  <si>
    <t xml:space="preserve">Separate handshake, policy and content-inspection evidence.</t>
  </si>
  <si>
    <t xml:space="preserve">Business flows restored with minimum justified exceptions.</t>
  </si>
  <si>
    <t>MT-06</t>
  </si>
  <si>
    <t>VPN-702/703</t>
  </si>
  <si>
    <t xml:space="preserve">IKE is up but traffic fails or chooses an unexpected tunnel after ISP failure.</t>
  </si>
  <si>
    <t xml:space="preserve">Proxy IDs; routes; tunnel zones; NAT-T; BGP; monitoring; MTU</t>
  </si>
  <si>
    <t xml:space="preserve">Trace crypto, route, policy, NAT and session state in order.</t>
  </si>
  <si>
    <t xml:space="preserve">Failover works and original path restoration does not flap.</t>
  </si>
  <si>
    <t xml:space="preserve">YES — cSRX/FortiOS</t>
  </si>
  <si>
    <t>MT-07</t>
  </si>
  <si>
    <t>HA-802/803</t>
  </si>
  <si>
    <t xml:space="preserve">HA pair fails over, yet selected sessions reset or traffic blackholes.</t>
  </si>
  <si>
    <t xml:space="preserve">HA2 sync; asymmetric routing; path monitoring; session owner; NAT state</t>
  </si>
  <si>
    <t xml:space="preserve">Predict session survival by traffic type before failure.</t>
  </si>
  <si>
    <t xml:space="preserve">Expected sessions survive; non-survivors and design limits documented.</t>
  </si>
  <si>
    <t>MT-08</t>
  </si>
  <si>
    <t>PAN-903/905</t>
  </si>
  <si>
    <t xml:space="preserve">Firewall is connected to Panorama but receives an unexpected value or stays out of sync.</t>
  </si>
  <si>
    <t xml:space="preserve">Template stack priority; variable; override; push scope; commit order</t>
  </si>
  <si>
    <t xml:space="preserve">Trace value ownership and commit path without random pushes.</t>
  </si>
  <si>
    <t xml:space="preserve">Correct value deployed; local exceptions and audit trail preserved.</t>
  </si>
  <si>
    <t>MT-09</t>
  </si>
  <si>
    <t>OPS-1002/1006</t>
  </si>
  <si>
    <t xml:space="preserve">Users report intermittent drops while CPU and interface status appear normal.</t>
  </si>
  <si>
    <t xml:space="preserve">Global counters; packet descriptors; zone protection; resource queues; asymmetric flow</t>
  </si>
  <si>
    <t xml:space="preserve">Capture at all stages and correlate counter delta to one test flow.</t>
  </si>
  <si>
    <t xml:space="preserve">Root cause proven with reproducible test and monitoring improvement.</t>
  </si>
  <si>
    <t>MT-10</t>
  </si>
  <si>
    <t>AUT-1103/1107</t>
  </si>
  <si>
    <t xml:space="preserve">Automation reports success but only part of the intended policy is active.</t>
  </si>
  <si>
    <t xml:space="preserve">Candidate config; commit job; API errors; idempotency; dependency order; drift</t>
  </si>
  <si>
    <t xml:space="preserve">Trace request, candidate, commit job and running config.</t>
  </si>
  <si>
    <t xml:space="preserve">Pipeline fails safely, detects partial state and restores consistency.</t>
  </si>
  <si>
    <t>MT-11</t>
  </si>
  <si>
    <t xml:space="preserve">ACI east-west flow passes one direction and fails after firewall/leaf failure.</t>
  </si>
  <si>
    <t xml:space="preserve">PBR symmetry; service graph; health tracking; HA ownership; endpoint movement</t>
  </si>
  <si>
    <t xml:space="preserve">Draw both directions and failure-state next hops before CLI/APIC checks.</t>
  </si>
  <si>
    <t xml:space="preserve">Symmetric inspection restored with no bypass and documented blast radius.</t>
  </si>
  <si>
    <t>ACI-specific</t>
  </si>
  <si>
    <t>MT-12</t>
  </si>
  <si>
    <t xml:space="preserve">All core phases</t>
  </si>
  <si>
    <t xml:space="preserve">Multiple symptoms appear after a change window across routing, identity, VPN and content.</t>
  </si>
  <si>
    <t xml:space="preserve">Four to six interacting fault domains</t>
  </si>
  <si>
    <t xml:space="preserve">No hints; build timeline, blast radius and ranked hypothesis tree.</t>
  </si>
  <si>
    <t xml:space="preserve">Critical services restored; complete RCA, rollback and prevention plan.</t>
  </si>
  <si>
    <t xml:space="preserve">Optional cross-vendor peers</t>
  </si>
  <si>
    <t xml:space="preserve">GUIDE, DEFINITIONS &amp; OFFICIAL SOURCES</t>
  </si>
  <si>
    <t xml:space="preserve">Roadmap version: 2026-08-25. PAN-OS 10.1 is the immediate lab baseline; current behavior must be cross-checked against supported releases.</t>
  </si>
  <si>
    <t xml:space="preserve">No implementation attempt yet</t>
  </si>
  <si>
    <t xml:space="preserve">Core objective can be reproduced with the available environment</t>
  </si>
  <si>
    <t xml:space="preserve">In Progress</t>
  </si>
  <si>
    <t xml:space="preserve">Initial implementation or troubleshooting is underway</t>
  </si>
  <si>
    <t xml:space="preserve">Expected to work but needs feature/license/resource validation</t>
  </si>
  <si>
    <t xml:space="preserve">Acceptance criteria passed and evidence recorded</t>
  </si>
  <si>
    <t xml:space="preserve">Behavior/design is reproducible; hardware, scale or subscription behavior is not fully representative</t>
  </si>
  <si>
    <t xml:space="preserve">Review Needed</t>
  </si>
  <si>
    <t xml:space="preserve">Previously completed but repetition/deeper review is due</t>
  </si>
  <si>
    <t xml:space="preserve">Intentionally retained; execute after adding the image, license, tenant or platform</t>
  </si>
  <si>
    <t>Blocked</t>
  </si>
  <si>
    <t xml:space="preserve">A specific unresolved issue prevents the next attempt</t>
  </si>
  <si>
    <t xml:space="preserve">Operating rules</t>
  </si>
  <si>
    <t xml:space="preserve">Completion is not mastery</t>
  </si>
  <si>
    <t xml:space="preserve">A lab may be Completed while Mastery Score is below 7.</t>
  </si>
  <si>
    <t xml:space="preserve">Prediction first</t>
  </si>
  <si>
    <t xml:space="preserve">Write expected route, zone, policy, NAT, session, App-ID and inspection result before execution.</t>
  </si>
  <si>
    <t xml:space="preserve">30-minute no-assistance phase</t>
  </si>
  <si>
    <t xml:space="preserve">For troubleshooting, use device evidence first; documentation/ChatGPT only after the initial diagnostic attempt.</t>
  </si>
  <si>
    <t xml:space="preserve">Minimum mastery gate</t>
  </si>
  <si>
    <t xml:space="preserve">Score 7: solve an unseen fault systematically and prove the root cause with evidence.</t>
  </si>
  <si>
    <t xml:space="preserve">Evidence habit</t>
  </si>
  <si>
    <t xml:space="preserve">Record topology/config, acceptance output, PCAP/log excerpts, symptom, root cause, fix and prevention.</t>
  </si>
  <si>
    <t xml:space="preserve">Version awareness</t>
  </si>
  <si>
    <t xml:space="preserve">PAN-OS 10.1 is useful for core mechanics but must not be treated as the current product baseline.</t>
  </si>
  <si>
    <t xml:space="preserve">Future dependencies are planned</t>
  </si>
  <si>
    <t xml:space="preserve">Panorama, newer PA-VM, Windows/AD and cloud tenants remain in the roadmap even when unavailable today.</t>
  </si>
  <si>
    <t xml:space="preserve">Official sources used to anchor the roadmap</t>
  </si>
  <si>
    <t xml:space="preserve">Palo Alto Networks Certification</t>
  </si>
  <si>
    <t xml:space="preserve">Current role-based certification portfolio</t>
  </si>
  <si>
    <t>https://www.paloaltonetworks.com/services/education/certification</t>
  </si>
  <si>
    <t xml:space="preserve">Hands-on PAN-OS networking, device settings, integration, automation, objects, policy and operations</t>
  </si>
  <si>
    <t>https://www.paloaltonetworks.com/services/education/palo-alto-networks-ngfw-engineer</t>
  </si>
  <si>
    <t xml:space="preserve">Network Security Professional</t>
  </si>
  <si>
    <t xml:space="preserve">Deployment, operation and administration across the network security portfolio</t>
  </si>
  <si>
    <t>https://www.paloaltonetworks.com/services/education/palo-alto-networks-netsec-professional</t>
  </si>
  <si>
    <t xml:space="preserve">Requirements-driven secure, scalable and highly available architecture</t>
  </si>
  <si>
    <t>https://www.paloaltonetworks.com/services/education/palo-alto-networks-netsec-architect</t>
  </si>
  <si>
    <t xml:space="preserve">PAN-OS Administration</t>
  </si>
  <si>
    <t xml:space="preserve">Firewall administration and management interfaces</t>
  </si>
  <si>
    <t>https://docs.paloaltonetworks.com/ngfw/administration</t>
  </si>
  <si>
    <t xml:space="preserve">App-ID Overview</t>
  </si>
  <si>
    <t xml:space="preserve">Application classification and policy behavior</t>
  </si>
  <si>
    <t>https://docs.paloaltonetworks.com/ngfw/administration/app-id/app-id-overview</t>
  </si>
  <si>
    <t xml:space="preserve">Best Practices</t>
  </si>
  <si>
    <t xml:space="preserve">App-ID, User-ID, decryption, Threat Prevention and WildFire guidance</t>
  </si>
  <si>
    <t>https://docs.paloaltonetworks.com/best-practices</t>
  </si>
  <si>
    <t xml:space="preserve">Panorama Overview</t>
  </si>
  <si>
    <t xml:space="preserve">Centralized management, monitoring and administration</t>
  </si>
  <si>
    <t>https://docs.paloaltonetworks.com/panorama/getting-started/panorama-overview</t>
  </si>
  <si>
    <t xml:space="preserve">Panorama Documentation</t>
  </si>
  <si>
    <t xml:space="preserve">Templates, Device Groups, commits, logging and operations</t>
  </si>
  <si>
    <t>https://docs.paloaltonetworks.com/panorama</t>
  </si>
  <si>
    <t>User-ID</t>
  </si>
  <si>
    <t xml:space="preserve">Identity-based visibility and policy</t>
  </si>
  <si>
    <t>https://docs.paloaltonetworks.com/ngfw/administration/user-id/enable-user-id</t>
  </si>
  <si>
    <t>GlobalProtect</t>
  </si>
  <si>
    <t xml:space="preserve">Remote access portal/gateway and endpoint policy</t>
  </si>
  <si>
    <t>https://docs.paloaltonetworks.com/globalprotect</t>
  </si>
  <si>
    <t xml:space="preserve">PAN-OS APIs</t>
  </si>
  <si>
    <t xml:space="preserve">Automation entry point</t>
  </si>
  <si>
    <t>https://docs.paloaltonetworks.com/pan-os/11-1/pan-os-panorama-api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</si>
</sst>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-mm-dd"/>
  </numFmts>
  <fonts count="9">
    <font>
      <sz val="11.000000"/>
      <name val="Carlito"/>
    </font>
    <font>
      <b/>
      <sz val="18.000000"/>
      <color indexed="65"/>
      <name val="Aptos"/>
    </font>
    <font>
      <sz val="11.000000"/>
      <name val="Aptos"/>
    </font>
    <font>
      <i/>
      <sz val="10.000000"/>
      <color rgb="FF1F2937"/>
      <name val="Aptos"/>
    </font>
    <font>
      <b/>
      <sz val="11.000000"/>
      <color indexed="65"/>
      <name val="Aptos"/>
    </font>
    <font>
      <b/>
      <sz val="22.000000"/>
      <color rgb="FF0B1F33"/>
      <name val="Aptos"/>
    </font>
    <font>
      <sz val="10.000000"/>
      <color rgb="FF1F2937"/>
      <name val="Aptos"/>
    </font>
    <font>
      <i/>
      <sz val="11.000000"/>
      <color rgb="FF1F2937"/>
      <name val="Aptos"/>
    </font>
    <font>
      <b/>
      <sz val="10.000000"/>
      <color rgb="FF0B1F33"/>
      <name val="Aptos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EEF4"/>
      </patternFill>
    </fill>
    <fill>
      <patternFill patternType="solid">
        <fgColor rgb="FF1565C0"/>
      </patternFill>
    </fill>
    <fill>
      <patternFill patternType="solid">
        <fgColor rgb="FFF4F7FA"/>
      </patternFill>
    </fill>
    <fill>
      <patternFill patternType="solid">
        <fgColor rgb="FFDFF3E4"/>
      </patternFill>
    </fill>
    <fill>
      <patternFill patternType="solid">
        <fgColor rgb="FFD92B3A"/>
      </patternFill>
    </fill>
  </fills>
  <borders count="9">
    <border>
      <left style="none"/>
      <right style="none"/>
      <top style="none"/>
      <bottom style="none"/>
      <diagonal style="none"/>
    </border>
    <border>
      <left style="medium">
        <color rgb="FFDDE6EE"/>
      </left>
      <right style="medium">
        <color rgb="FFDDE6EE"/>
      </right>
      <top style="medium">
        <color rgb="FFDDE6EE"/>
      </top>
      <bottom style="medium">
        <color rgb="FFDDE6EE"/>
      </bottom>
      <diagonal style="none"/>
    </border>
    <border>
      <left style="thin">
        <color rgb="FF90A4AE"/>
      </left>
      <right style="none"/>
      <top style="thin">
        <color rgb="FF90A4AE"/>
      </top>
      <bottom style="thin">
        <color rgb="FF90A4AE"/>
      </bottom>
      <diagonal style="none"/>
    </border>
    <border>
      <left style="none"/>
      <right style="none"/>
      <top style="thin">
        <color rgb="FF90A4AE"/>
      </top>
      <bottom style="thin">
        <color rgb="FF90A4AE"/>
      </bottom>
      <diagonal style="none"/>
    </border>
    <border>
      <left style="none"/>
      <right style="thin">
        <color rgb="FF90A4AE"/>
      </right>
      <top style="thin">
        <color rgb="FF90A4AE"/>
      </top>
      <bottom style="thin">
        <color rgb="FF90A4AE"/>
      </bottom>
      <diagonal style="none"/>
    </border>
    <border>
      <left style="none"/>
      <right style="none"/>
      <top style="none"/>
      <bottom style="thin">
        <color rgb="FFE3EAF0"/>
      </bottom>
      <diagonal style="none"/>
    </border>
    <border>
      <left style="none"/>
      <right style="none"/>
      <top style="thin">
        <color rgb="FFE3EAF0"/>
      </top>
      <bottom style="thin">
        <color rgb="FFE3EAF0"/>
      </bottom>
      <diagonal style="none"/>
    </border>
    <border>
      <left style="none"/>
      <right style="none"/>
      <top style="thin">
        <color rgb="FFE3EAF0"/>
      </top>
      <bottom style="none"/>
      <diagonal style="none"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5">
    <xf fontId="0" fillId="0" borderId="0" numFmtId="0" xfId="0"/>
    <xf fontId="1" fillId="2" borderId="0" numFmtId="0" xfId="0" applyFont="1" applyFill="1" applyAlignment="1">
      <alignment vertical="center"/>
    </xf>
    <xf fontId="2" fillId="0" borderId="0" numFmtId="0" xfId="0" applyFont="1"/>
    <xf fontId="3" fillId="3" borderId="0" numFmtId="0" xfId="0" applyFont="1" applyFill="1" applyAlignment="1">
      <alignment vertical="center" wrapText="1"/>
    </xf>
    <xf fontId="4" fillId="4" borderId="0" numFmtId="0" xfId="0" applyFont="1" applyFill="1" applyAlignment="1">
      <alignment horizontal="center" vertical="center"/>
    </xf>
    <xf fontId="5" fillId="5" borderId="1" numFmtId="0" xfId="0" applyFont="1" applyFill="1" applyBorder="1" applyAlignment="1">
      <alignment horizontal="center" vertical="center"/>
    </xf>
    <xf fontId="5" fillId="5" borderId="1" numFmtId="9" xfId="0" applyNumberFormat="1" applyFont="1" applyFill="1" applyBorder="1" applyAlignment="1">
      <alignment horizontal="center" vertical="center"/>
    </xf>
    <xf fontId="4" fillId="4" borderId="2" numFmtId="0" xfId="0" applyFont="1" applyFill="1" applyBorder="1" applyAlignment="1">
      <alignment horizontal="center" vertical="center" wrapText="1"/>
    </xf>
    <xf fontId="4" fillId="4" borderId="3" numFmtId="0" xfId="0" applyFont="1" applyFill="1" applyBorder="1" applyAlignment="1">
      <alignment horizontal="center" vertical="center" wrapText="1"/>
    </xf>
    <xf fontId="4" fillId="4" borderId="4" numFmtId="0" xfId="0" applyFont="1" applyFill="1" applyBorder="1" applyAlignment="1">
      <alignment horizontal="center" vertical="center" wrapText="1"/>
    </xf>
    <xf fontId="6" fillId="0" borderId="5" numFmtId="0" xfId="0" applyFont="1" applyBorder="1" applyAlignment="1">
      <alignment vertical="top" wrapText="1"/>
    </xf>
    <xf fontId="6" fillId="0" borderId="5" numFmtId="9" xfId="0" applyNumberFormat="1" applyFont="1" applyBorder="1" applyAlignment="1">
      <alignment vertical="top" wrapText="1"/>
    </xf>
    <xf fontId="6" fillId="0" borderId="6" numFmtId="0" xfId="0" applyFont="1" applyBorder="1" applyAlignment="1">
      <alignment vertical="top" wrapText="1"/>
    </xf>
    <xf fontId="6" fillId="0" borderId="6" numFmtId="9" xfId="0" applyNumberFormat="1" applyFont="1" applyBorder="1" applyAlignment="1">
      <alignment vertical="top" wrapText="1"/>
    </xf>
    <xf fontId="6" fillId="0" borderId="7" numFmtId="0" xfId="0" applyFont="1" applyBorder="1" applyAlignment="1">
      <alignment vertical="top" wrapText="1"/>
    </xf>
    <xf fontId="6" fillId="0" borderId="7" numFmtId="9" xfId="0" applyNumberFormat="1" applyFont="1" applyBorder="1" applyAlignment="1">
      <alignment vertical="top" wrapText="1"/>
    </xf>
    <xf fontId="7" fillId="3" borderId="8" numFmtId="0" xfId="0" applyFont="1" applyFill="1" applyBorder="1" applyAlignment="1">
      <alignment vertical="center" wrapText="1"/>
    </xf>
    <xf fontId="6" fillId="0" borderId="5" numFmtId="164" xfId="0" applyNumberFormat="1" applyFont="1" applyBorder="1" applyAlignment="1">
      <alignment vertical="top" wrapText="1"/>
    </xf>
    <xf fontId="6" fillId="0" borderId="6" numFmtId="164" xfId="0" applyNumberFormat="1" applyFont="1" applyBorder="1" applyAlignment="1">
      <alignment vertical="top" wrapText="1"/>
    </xf>
    <xf fontId="6" fillId="0" borderId="7" numFmtId="164" xfId="0" applyNumberFormat="1" applyFont="1" applyBorder="1" applyAlignment="1">
      <alignment vertical="top" wrapText="1"/>
    </xf>
    <xf fontId="6" fillId="0" borderId="5" numFmtId="0" xfId="0" applyFont="1" applyBorder="1" applyAlignment="1">
      <alignment horizontal="center" vertical="top" wrapText="1"/>
    </xf>
    <xf fontId="6" fillId="0" borderId="5" numFmtId="9" xfId="0" applyNumberFormat="1" applyFont="1" applyBorder="1" applyAlignment="1">
      <alignment horizontal="center" vertical="top" wrapText="1"/>
    </xf>
    <xf fontId="6" fillId="0" borderId="5" numFmtId="165" xfId="0" applyNumberFormat="1" applyFont="1" applyBorder="1" applyAlignment="1">
      <alignment horizontal="center" vertical="top" wrapText="1"/>
    </xf>
    <xf fontId="6" fillId="0" borderId="6" numFmtId="0" xfId="0" applyFont="1" applyBorder="1" applyAlignment="1">
      <alignment horizontal="center" vertical="top" wrapText="1"/>
    </xf>
    <xf fontId="6" fillId="0" borderId="6" numFmtId="9" xfId="0" applyNumberFormat="1" applyFont="1" applyBorder="1" applyAlignment="1">
      <alignment horizontal="center" vertical="top" wrapText="1"/>
    </xf>
    <xf fontId="6" fillId="0" borderId="6" numFmtId="165" xfId="0" applyNumberFormat="1" applyFont="1" applyBorder="1" applyAlignment="1">
      <alignment horizontal="center" vertical="top" wrapText="1"/>
    </xf>
    <xf fontId="6" fillId="0" borderId="7" numFmtId="0" xfId="0" applyFont="1" applyBorder="1" applyAlignment="1">
      <alignment horizontal="center" vertical="top" wrapText="1"/>
    </xf>
    <xf fontId="6" fillId="0" borderId="7" numFmtId="9" xfId="0" applyNumberFormat="1" applyFont="1" applyBorder="1" applyAlignment="1">
      <alignment horizontal="center" vertical="top" wrapText="1"/>
    </xf>
    <xf fontId="6" fillId="0" borderId="7" numFmtId="165" xfId="0" applyNumberFormat="1" applyFont="1" applyBorder="1" applyAlignment="1">
      <alignment horizontal="center" vertical="top" wrapText="1"/>
    </xf>
    <xf fontId="6" fillId="6" borderId="6" numFmtId="0" xfId="0" applyFont="1" applyFill="1" applyBorder="1" applyAlignment="1">
      <alignment vertical="top" wrapText="1"/>
    </xf>
    <xf fontId="6" fillId="6" borderId="7" numFmtId="0" xfId="0" applyFont="1" applyFill="1" applyBorder="1" applyAlignment="1">
      <alignment vertical="top" wrapText="1"/>
    </xf>
    <xf fontId="4" fillId="7" borderId="0" numFmtId="0" xfId="0" applyFont="1" applyFill="1"/>
    <xf fontId="8" fillId="0" borderId="5" numFmtId="0" xfId="0" applyFont="1" applyBorder="1" applyAlignment="1">
      <alignment vertical="top" wrapText="1"/>
    </xf>
    <xf fontId="8" fillId="0" borderId="6" numFmtId="0" xfId="0" applyFont="1" applyBorder="1" applyAlignment="1">
      <alignment vertical="top" wrapText="1"/>
    </xf>
    <xf fontId="8" fillId="0" borderId="7" numFmtId="0" xfId="0" applyFont="1" applyBorder="1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Labs completed and mastered by phase</a:t>
            </a:r>
            <a:endParaRPr/>
          </a:p>
        </c:rich>
      </c:tx>
      <c:layout/>
      <c:overlay val="0"/>
    </c:title>
    <c:plotArea>
      <c:layout/>
      <c:barChart>
        <c:barDir val="col"/>
        <c:varyColors val="0"/>
        <c:ser>
          <c:idx val="0"/>
          <c:order val="0"/>
          <c:tx>
            <c:v>Total Labs</c:v>
          </c:tx>
          <c:cat>
            <c:strRef>
              <c:f>'Dashboard'!$A$9:$A$21</c:f>
              <c:strCache>
                <c:ptCount val="0"/>
              </c:strCache>
            </c:strRef>
          </c:cat>
          <c:val>
            <c:numRef>
              <c:f>'Dashboard'!$B$9:$B$21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'Dashboard'!$A$9:$A$21</c:f>
              <c:strCache>
                <c:ptCount val="0"/>
              </c:strCache>
            </c:strRef>
          </c:cat>
          <c:val>
            <c:numRef>
              <c:f>'Dashboard'!$C$9:$C$21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Mastered ≥7</c:v>
          </c:tx>
          <c:cat>
            <c:strRef>
              <c:f>'Dashboard'!$A$9:$A$21</c:f>
              <c:strCache>
                <c:ptCount val="0"/>
              </c:strCache>
            </c:strRef>
          </c:cat>
          <c:val>
            <c:numRef>
              <c:f>'Dashboard'!$D$9:$D$21</c:f>
              <c:numCache>
                <c:formatCode>General</c:formatCode>
                <c:ptCount val="0"/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showDLblsOverMax val="0"/>
  </c:chart>
  <c:spPr bwMode="auto">
    <a:xfrm rot="0">
      <a:off x="0" y="0"/>
      <a:ext cx="0" cy="0"/>
    </a:xfrm>
    <a:prstGeom prst="rect">
      <a:avLst/>
    </a:prstGeom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0</xdr:colOff>
      <xdr:row>7</xdr:row>
      <xdr:rowOff>0</xdr:rowOff>
    </xdr:from>
    <xdr:to>
      <xdr:col>16</xdr:col>
      <xdr:colOff>0</xdr:colOff>
      <xdr:row>28</xdr:row>
      <xdr:rowOff>0</xdr:rowOff>
    </xdr:to>
    <xdr:graphicFrame>
      <xdr:nvGraphicFramePr>
        <xdr:cNvPr id="1" nam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RoadmapPhaseTable" ref="A3:K16" headerRowCount="1" totalsRowCount="0">
  <tableColumns count="11">
    <tableColumn id="1" name="Phase"/>
    <tableColumn id="2" name="Outcome"/>
    <tableColumn id="3" name="Suggested Weeks"/>
    <tableColumn id="4" name="Planned Hours"/>
    <tableColumn id="5" name="Total Labs"/>
    <tableColumn id="6" name="Completed"/>
    <tableColumn id="7" name="Avg Progress"/>
    <tableColumn id="8" name="Avg Mastery"/>
    <tableColumn id="9" name="Certification Alignment"/>
    <tableColumn id="10" name="Primary Environment"/>
    <tableColumn id="11" name="Exit Criter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PaloAltoLabsTable" ref="A3:AD88" headerRowCount="1" totalsRowCount="0">
  <tableColumns count="30">
    <tableColumn id="1" name="No."/>
    <tableColumn id="2" name="Lab ID"/>
    <tableColumn id="3" name="Phase"/>
    <tableColumn id="4" name="Lab Title"/>
    <tableColumn id="5" name="Objective"/>
    <tableColumn id="6" name="Key Technologies"/>
    <tableColumn id="7" name="Recommended Topology"/>
    <tableColumn id="8" name="Primary Image / Platform"/>
    <tableColumn id="9" name="Supporting Images"/>
    <tableColumn id="10" name="Dependency"/>
    <tableColumn id="11" name="Feasibility"/>
    <tableColumn id="12" name="Difficulty"/>
    <tableColumn id="13" name="Est. Hours"/>
    <tableColumn id="14" name="Prerequisite"/>
    <tableColumn id="15" name="Status"/>
    <tableColumn id="16" name="Target Reps"/>
    <tableColumn id="17" name="Completed Reps"/>
    <tableColumn id="18" name="Progress"/>
    <tableColumn id="19" name="Last Practice"/>
    <tableColumn id="20" name="Verification"/>
    <tableColumn id="21" name="Build / Implement"/>
    <tableColumn id="22" name="Verify / Expected State"/>
    <tableColumn id="23" name="Break / Failure Injection"/>
    <tableColumn id="24" name="Diagnose / Hypothesis"/>
    <tableColumn id="25" name="Restore / Acceptance"/>
    <tableColumn id="26" name="Design / Trade-off"/>
    <tableColumn id="27" name="Evidence / RCA Link"/>
    <tableColumn id="28" name="Mastery Score"/>
    <tableColumn id="29" name="Mastery State"/>
    <tableColumn id="30" name="Certification Ma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ImageMatrixTable" ref="A3:I24" headerRowCount="1" totalsRowCount="0">
  <tableColumns count="9">
    <tableColumn id="1" name="Image / Platform"/>
    <tableColumn id="2" name="Availability"/>
    <tableColumn id="3" name="Preferred Role"/>
    <tableColumn id="4" name="Best Use"/>
    <tableColumn id="5" name="Strength"/>
    <tableColumn id="6" name="Limitation"/>
    <tableColumn id="7" name="Priority"/>
    <tableColumn id="8" name="Roadmap Coverage"/>
    <tableColumn id="9" name="Recommend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MysteryTicketsTable" ref="A3:J15" headerRowCount="1" totalsRowCount="0">
  <tableColumns count="10">
    <tableColumn id="1" name="Ticket"/>
    <tableColumn id="2" name="Prerequisite"/>
    <tableColumn id="3" name="Customer / NOC Symptom"/>
    <tableColumn id="4" name="Hidden Fault Domains"/>
    <tableColumn id="5" name="Timebox (min)"/>
    <tableColumn id="6" name="Required Method"/>
    <tableColumn id="7" name="Acceptance Criteria"/>
    <tableColumn id="8" name="Cross-Vendor Repeat"/>
    <tableColumn id="9" name="Status"/>
    <tableColumn id="10" name="RCA / Lesson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39"/>
    <col customWidth="1" min="2" max="2" width="12"/>
    <col customWidth="1" min="3" max="3" width="13"/>
    <col customWidth="1" min="4" max="4" width="14"/>
    <col customWidth="1" min="5" max="6" width="15"/>
    <col customWidth="1" min="7" max="7" width="4"/>
    <col customWidth="1" min="8" max="10" width="15"/>
  </cols>
  <sheetData>
    <row r="1" ht="3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4" t="s">
        <v>2</v>
      </c>
      <c r="B4" s="2"/>
      <c r="C4" s="2"/>
      <c r="D4" s="4" t="s">
        <v>3</v>
      </c>
      <c r="E4" s="2"/>
      <c r="F4" s="2"/>
      <c r="G4" s="4" t="s">
        <v>4</v>
      </c>
      <c r="H4" s="2"/>
      <c r="I4" s="4" t="s">
        <v>5</v>
      </c>
      <c r="J4" s="2"/>
    </row>
    <row r="5" ht="26.25">
      <c r="A5" s="5">
        <f>COUNTA('Lab Tracker'!$B$4:$B$88)</f>
        <v>85</v>
      </c>
      <c r="B5" s="2"/>
      <c r="C5" s="2"/>
      <c r="D5" s="5">
        <f>COUNTIF('Lab Tracker'!$O$4:$O$88,"Completed")</f>
        <v>0</v>
      </c>
      <c r="E5" s="2"/>
      <c r="F5" s="2"/>
      <c r="G5" s="6">
        <f>AVERAGE('Lab Tracker'!$R$4:$R$88)</f>
        <v>0.0058823529411764705</v>
      </c>
      <c r="H5" s="2"/>
      <c r="I5" s="5">
        <f>COUNTIF('Lab Tracker'!$AB$4:$AB$88,"&gt;=7")</f>
        <v>0</v>
      </c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2" customHeight="1">
      <c r="A8" s="7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9" t="s">
        <v>11</v>
      </c>
      <c r="G8" s="2"/>
      <c r="H8" s="2"/>
      <c r="I8" s="2"/>
      <c r="J8" s="2"/>
    </row>
    <row r="9">
      <c r="A9" s="10" t="s">
        <v>12</v>
      </c>
      <c r="B9" s="10">
        <f>'Roadmap'!E4</f>
        <v>5</v>
      </c>
      <c r="C9" s="10">
        <f>'Roadmap'!F4</f>
        <v>0</v>
      </c>
      <c r="D9" s="10">
        <f>COUNTIFS('Lab Tracker'!$C$4:$C$88,A9,'Lab Tracker'!$AB$4:$AB$88,"&gt;=7")</f>
        <v>0</v>
      </c>
      <c r="E9" s="11">
        <f>'Roadmap'!G4</f>
        <v>0.10000000000000001</v>
      </c>
      <c r="F9" s="10">
        <f>'Roadmap'!D4</f>
        <v>18</v>
      </c>
      <c r="G9" s="2"/>
      <c r="H9" s="2"/>
      <c r="I9" s="2"/>
      <c r="J9" s="2"/>
    </row>
    <row r="10">
      <c r="A10" s="12" t="s">
        <v>13</v>
      </c>
      <c r="B10" s="12">
        <f>Roadmap!E5</f>
        <v>8</v>
      </c>
      <c r="C10" s="12">
        <f>Roadmap!F5</f>
        <v>0</v>
      </c>
      <c r="D10" s="12">
        <f>COUNTIFS('Lab Tracker'!$C$4:$C$88,A10,'Lab Tracker'!$AB$4:$AB$88,"&gt;=7")</f>
        <v>0</v>
      </c>
      <c r="E10" s="13">
        <f>Roadmap!G5</f>
        <v>0</v>
      </c>
      <c r="F10" s="12">
        <f>Roadmap!D5</f>
        <v>36</v>
      </c>
      <c r="G10" s="2"/>
      <c r="H10" s="2"/>
      <c r="I10" s="2"/>
      <c r="J10" s="2"/>
    </row>
    <row r="11">
      <c r="A11" s="12" t="s">
        <v>14</v>
      </c>
      <c r="B11" s="12">
        <f>Roadmap!E6</f>
        <v>8</v>
      </c>
      <c r="C11" s="12">
        <f>Roadmap!F6</f>
        <v>0</v>
      </c>
      <c r="D11" s="12">
        <f>COUNTIFS('Lab Tracker'!$C$4:$C$88,A11,'Lab Tracker'!$AB$4:$AB$88,"&gt;=7")</f>
        <v>0</v>
      </c>
      <c r="E11" s="13">
        <f>Roadmap!G6</f>
        <v>0</v>
      </c>
      <c r="F11" s="12">
        <f>Roadmap!D6</f>
        <v>40</v>
      </c>
      <c r="G11" s="2"/>
      <c r="H11" s="2"/>
      <c r="I11" s="2"/>
      <c r="J11" s="2"/>
    </row>
    <row r="12">
      <c r="A12" s="12" t="s">
        <v>15</v>
      </c>
      <c r="B12" s="12">
        <f>Roadmap!E7</f>
        <v>5</v>
      </c>
      <c r="C12" s="12">
        <f>Roadmap!F7</f>
        <v>0</v>
      </c>
      <c r="D12" s="12">
        <f>COUNTIFS('Lab Tracker'!$C$4:$C$88,A12,'Lab Tracker'!$AB$4:$AB$88,"&gt;=7")</f>
        <v>0</v>
      </c>
      <c r="E12" s="13">
        <f>Roadmap!G7</f>
        <v>0</v>
      </c>
      <c r="F12" s="12">
        <f>Roadmap!D7</f>
        <v>20</v>
      </c>
      <c r="G12" s="2"/>
      <c r="H12" s="2"/>
      <c r="I12" s="2"/>
      <c r="J12" s="2"/>
    </row>
    <row r="13">
      <c r="A13" s="12" t="s">
        <v>16</v>
      </c>
      <c r="B13" s="12">
        <f>Roadmap!E8</f>
        <v>5</v>
      </c>
      <c r="C13" s="12">
        <f>Roadmap!F8</f>
        <v>0</v>
      </c>
      <c r="D13" s="12">
        <f>COUNTIFS('Lab Tracker'!$C$4:$C$88,A13,'Lab Tracker'!$AB$4:$AB$88,"&gt;=7")</f>
        <v>0</v>
      </c>
      <c r="E13" s="13">
        <f>Roadmap!G8</f>
        <v>0</v>
      </c>
      <c r="F13" s="12">
        <f>Roadmap!D8</f>
        <v>24</v>
      </c>
      <c r="G13" s="2"/>
      <c r="H13" s="2"/>
      <c r="I13" s="2"/>
      <c r="J13" s="2"/>
    </row>
    <row r="14">
      <c r="A14" s="12" t="s">
        <v>17</v>
      </c>
      <c r="B14" s="12">
        <f>Roadmap!E9</f>
        <v>6</v>
      </c>
      <c r="C14" s="12">
        <f>Roadmap!F9</f>
        <v>0</v>
      </c>
      <c r="D14" s="12">
        <f>COUNTIFS('Lab Tracker'!$C$4:$C$88,A14,'Lab Tracker'!$AB$4:$AB$88,"&gt;=7")</f>
        <v>0</v>
      </c>
      <c r="E14" s="13">
        <f>Roadmap!G9</f>
        <v>0</v>
      </c>
      <c r="F14" s="12">
        <f>Roadmap!D9</f>
        <v>32</v>
      </c>
      <c r="G14" s="2"/>
      <c r="H14" s="2"/>
      <c r="I14" s="2"/>
      <c r="J14" s="2"/>
    </row>
    <row r="15">
      <c r="A15" s="12" t="s">
        <v>18</v>
      </c>
      <c r="B15" s="12">
        <f>'Roadmap'!E10</f>
        <v>6</v>
      </c>
      <c r="C15" s="12">
        <f>'Roadmap'!F10</f>
        <v>0</v>
      </c>
      <c r="D15" s="12">
        <f>COUNTIFS('Lab Tracker'!$C$4:$C$88,A15,'Lab Tracker'!$AB$4:$AB$88,"&gt;=7")</f>
        <v>0</v>
      </c>
      <c r="E15" s="13">
        <f>'Roadmap'!G10</f>
        <v>0</v>
      </c>
      <c r="F15" s="12">
        <f>'Roadmap'!D10</f>
        <v>34</v>
      </c>
      <c r="G15" s="2"/>
      <c r="H15" s="2"/>
      <c r="I15" s="2"/>
      <c r="J15" s="2"/>
    </row>
    <row r="16">
      <c r="A16" s="12" t="s">
        <v>19</v>
      </c>
      <c r="B16" s="12">
        <f>Roadmap!E11</f>
        <v>6</v>
      </c>
      <c r="C16" s="12">
        <f>Roadmap!F11</f>
        <v>0</v>
      </c>
      <c r="D16" s="12">
        <f>COUNTIFS('Lab Tracker'!$C$4:$C$88,A16,'Lab Tracker'!$AB$4:$AB$88,"&gt;=7")</f>
        <v>0</v>
      </c>
      <c r="E16" s="13">
        <f>Roadmap!G11</f>
        <v>0</v>
      </c>
      <c r="F16" s="12">
        <f>Roadmap!D11</f>
        <v>30</v>
      </c>
      <c r="G16" s="2"/>
      <c r="H16" s="2"/>
      <c r="I16" s="2"/>
      <c r="J16" s="2"/>
    </row>
    <row r="17">
      <c r="A17" s="12" t="s">
        <v>20</v>
      </c>
      <c r="B17" s="12">
        <f>Roadmap!E12</f>
        <v>7</v>
      </c>
      <c r="C17" s="12">
        <f>Roadmap!F12</f>
        <v>0</v>
      </c>
      <c r="D17" s="12">
        <f>COUNTIFS('Lab Tracker'!$C$4:$C$88,A17,'Lab Tracker'!$AB$4:$AB$88,"&gt;=7")</f>
        <v>0</v>
      </c>
      <c r="E17" s="13">
        <f>Roadmap!G12</f>
        <v>0</v>
      </c>
      <c r="F17" s="12">
        <f>Roadmap!D12</f>
        <v>38</v>
      </c>
      <c r="G17" s="2"/>
      <c r="H17" s="2"/>
      <c r="I17" s="2"/>
      <c r="J17" s="2"/>
    </row>
    <row r="18" ht="25.5">
      <c r="A18" s="12" t="s">
        <v>21</v>
      </c>
      <c r="B18" s="12">
        <f>Roadmap!E13</f>
        <v>8</v>
      </c>
      <c r="C18" s="12">
        <f>Roadmap!F13</f>
        <v>0</v>
      </c>
      <c r="D18" s="12">
        <f>COUNTIFS('Lab Tracker'!$C$4:$C$88,A18,'Lab Tracker'!$AB$4:$AB$88,"&gt;=7")</f>
        <v>0</v>
      </c>
      <c r="E18" s="13">
        <f>Roadmap!G13</f>
        <v>0</v>
      </c>
      <c r="F18" s="12">
        <f>Roadmap!D13</f>
        <v>44</v>
      </c>
      <c r="G18" s="2"/>
      <c r="H18" s="2"/>
      <c r="I18" s="2"/>
      <c r="J18" s="2"/>
    </row>
    <row r="19">
      <c r="A19" s="12" t="s">
        <v>22</v>
      </c>
      <c r="B19" s="12">
        <f>Roadmap!E14</f>
        <v>7</v>
      </c>
      <c r="C19" s="12">
        <f>Roadmap!F14</f>
        <v>0</v>
      </c>
      <c r="D19" s="12">
        <f>COUNTIFS('Lab Tracker'!$C$4:$C$88,A19,'Lab Tracker'!$AB$4:$AB$88,"&gt;=7")</f>
        <v>0</v>
      </c>
      <c r="E19" s="13">
        <f>Roadmap!G14</f>
        <v>0</v>
      </c>
      <c r="F19" s="12">
        <f>Roadmap!D14</f>
        <v>36</v>
      </c>
      <c r="G19" s="2"/>
      <c r="H19" s="2"/>
      <c r="I19" s="2"/>
      <c r="J19" s="2"/>
    </row>
    <row r="20" ht="25.5">
      <c r="A20" s="12" t="s">
        <v>23</v>
      </c>
      <c r="B20" s="12">
        <f>Roadmap!E15</f>
        <v>8</v>
      </c>
      <c r="C20" s="12">
        <f>Roadmap!F15</f>
        <v>0</v>
      </c>
      <c r="D20" s="12">
        <f>COUNTIFS('Lab Tracker'!$C$4:$C$88,A20,'Lab Tracker'!$AB$4:$AB$88,"&gt;=7")</f>
        <v>0</v>
      </c>
      <c r="E20" s="13">
        <f>Roadmap!G15</f>
        <v>0</v>
      </c>
      <c r="F20" s="12">
        <f>Roadmap!D15</f>
        <v>48</v>
      </c>
      <c r="G20" s="2"/>
      <c r="H20" s="2"/>
      <c r="I20" s="2"/>
      <c r="J20" s="2"/>
    </row>
    <row r="21">
      <c r="A21" s="14" t="s">
        <v>24</v>
      </c>
      <c r="B21" s="14">
        <f>Roadmap!E16</f>
        <v>6</v>
      </c>
      <c r="C21" s="14">
        <f>Roadmap!F16</f>
        <v>0</v>
      </c>
      <c r="D21" s="14">
        <f>COUNTIFS('Lab Tracker'!$C$4:$C$88,A21,'Lab Tracker'!$AB$4:$AB$88,"&gt;=7")</f>
        <v>0</v>
      </c>
      <c r="E21" s="15">
        <f>Roadmap!G16</f>
        <v>0</v>
      </c>
      <c r="F21" s="14">
        <f>Roadmap!D16</f>
        <v>54</v>
      </c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16" t="s">
        <v>25</v>
      </c>
      <c r="B24" s="2"/>
      <c r="C24" s="2"/>
      <c r="D24" s="2"/>
      <c r="E24" s="2"/>
      <c r="F24" s="2"/>
      <c r="G24" s="2"/>
      <c r="H24" s="2"/>
      <c r="I24" s="2"/>
      <c r="J24" s="2"/>
    </row>
  </sheetData>
  <mergeCells count="11">
    <mergeCell ref="A1:J1"/>
    <mergeCell ref="A2:J2"/>
    <mergeCell ref="A4:B4"/>
    <mergeCell ref="D4:E4"/>
    <mergeCell ref="G4:H4"/>
    <mergeCell ref="I4:J4"/>
    <mergeCell ref="A5:B5"/>
    <mergeCell ref="D5:E5"/>
    <mergeCell ref="G5:H5"/>
    <mergeCell ref="I5:J5"/>
    <mergeCell ref="A24:F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0353BD5B-0313-4978-A668-E97027ABE38A}">
            <x14:dataBar maxLength="90" minLength="10" axisPosition="automatic" direction="context">
              <x14:cfvo type="min"/>
              <x14:cfvo type="max"/>
              <x14:fillColor rgb="FF00A6B2"/>
            </x14:dataBar>
          </x14:cfRule>
          <xm:sqref>E9:E21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6"/>
    <col customWidth="1" min="2" max="2" width="48"/>
    <col customWidth="1" min="3" max="3" width="16"/>
    <col customWidth="1" min="4" max="4" width="14"/>
    <col customWidth="1" min="5" max="5" width="11"/>
    <col customWidth="1" min="6" max="6" width="12"/>
    <col customWidth="1" min="7" max="8" width="13"/>
    <col customWidth="1" min="9" max="9" width="28"/>
    <col customWidth="1" min="10" max="10" width="39"/>
    <col customWidth="1" min="11" max="11" width="55"/>
  </cols>
  <sheetData>
    <row r="1" ht="34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0" customHeight="1">
      <c r="A2" s="3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>
      <c r="A3" s="7" t="s">
        <v>6</v>
      </c>
      <c r="B3" s="8" t="s">
        <v>28</v>
      </c>
      <c r="C3" s="8" t="s">
        <v>29</v>
      </c>
      <c r="D3" s="8" t="s">
        <v>11</v>
      </c>
      <c r="E3" s="8" t="s">
        <v>7</v>
      </c>
      <c r="F3" s="8" t="s">
        <v>8</v>
      </c>
      <c r="G3" s="8" t="s">
        <v>10</v>
      </c>
      <c r="H3" s="8" t="s">
        <v>30</v>
      </c>
      <c r="I3" s="8" t="s">
        <v>31</v>
      </c>
      <c r="J3" s="8" t="s">
        <v>32</v>
      </c>
      <c r="K3" s="9" t="s">
        <v>33</v>
      </c>
    </row>
    <row r="4">
      <c r="A4" s="10" t="s">
        <v>12</v>
      </c>
      <c r="B4" s="10" t="s">
        <v>34</v>
      </c>
      <c r="C4" s="10" t="s">
        <v>35</v>
      </c>
      <c r="D4" s="10">
        <v>18</v>
      </c>
      <c r="E4" s="10">
        <f>COUNTIF('Lab Tracker'!$C$4:$C$88,A4)</f>
        <v>5</v>
      </c>
      <c r="F4" s="10">
        <f>COUNTIFS('Lab Tracker'!$C$4:$C$88,A4,'Lab Tracker'!$O$4:$O$88,"Completed")</f>
        <v>0</v>
      </c>
      <c r="G4" s="11">
        <f>IFERROR(AVERAGEIF('Lab Tracker'!$C$4:$C$88,A4,'Lab Tracker'!$R$4:$R$88),0)</f>
        <v>0.10000000000000001</v>
      </c>
      <c r="H4" s="17">
        <f>IFERROR(AVERAGEIF('Lab Tracker'!$C$4:$C$88,A4,'Lab Tracker'!$AB$4:$AB$88),0)</f>
        <v>0</v>
      </c>
      <c r="I4" s="10" t="s">
        <v>36</v>
      </c>
      <c r="J4" s="10" t="s">
        <v>37</v>
      </c>
      <c r="K4" s="10" t="s">
        <v>38</v>
      </c>
    </row>
    <row r="5">
      <c r="A5" s="12" t="s">
        <v>13</v>
      </c>
      <c r="B5" s="12" t="s">
        <v>39</v>
      </c>
      <c r="C5" s="12" t="s">
        <v>40</v>
      </c>
      <c r="D5" s="12">
        <v>36</v>
      </c>
      <c r="E5" s="12">
        <f>COUNTIF('Lab Tracker'!$C$4:$C$88,A5)</f>
        <v>8</v>
      </c>
      <c r="F5" s="12">
        <f>COUNTIFS('Lab Tracker'!$C$4:$C$88,A5,'Lab Tracker'!$O$4:$O$88,"Completed")</f>
        <v>0</v>
      </c>
      <c r="G5" s="13">
        <f>IFERROR(AVERAGEIF('Lab Tracker'!$C$4:$C$88,A5,'Lab Tracker'!$R$4:$R$88),0)</f>
        <v>0</v>
      </c>
      <c r="H5" s="18">
        <f>IFERROR(AVERAGEIF('Lab Tracker'!$C$4:$C$88,A5,'Lab Tracker'!$AB$4:$AB$88),0)</f>
        <v>0</v>
      </c>
      <c r="I5" s="12" t="s">
        <v>41</v>
      </c>
      <c r="J5" s="12" t="s">
        <v>42</v>
      </c>
      <c r="K5" s="12" t="s">
        <v>43</v>
      </c>
    </row>
    <row r="6">
      <c r="A6" s="12" t="s">
        <v>14</v>
      </c>
      <c r="B6" s="12" t="s">
        <v>44</v>
      </c>
      <c r="C6" s="12" t="s">
        <v>40</v>
      </c>
      <c r="D6" s="12">
        <v>40</v>
      </c>
      <c r="E6" s="12">
        <f>COUNTIF('Lab Tracker'!$C$4:$C$88,A6)</f>
        <v>8</v>
      </c>
      <c r="F6" s="12">
        <f>COUNTIFS('Lab Tracker'!$C$4:$C$88,A6,'Lab Tracker'!$O$4:$O$88,"Completed")</f>
        <v>0</v>
      </c>
      <c r="G6" s="13">
        <f>IFERROR(AVERAGEIF('Lab Tracker'!$C$4:$C$88,A6,'Lab Tracker'!$R$4:$R$88),0)</f>
        <v>0</v>
      </c>
      <c r="H6" s="18">
        <f>IFERROR(AVERAGEIF('Lab Tracker'!$C$4:$C$88,A6,'Lab Tracker'!$AB$4:$AB$88),0)</f>
        <v>0</v>
      </c>
      <c r="I6" s="12" t="s">
        <v>41</v>
      </c>
      <c r="J6" s="12" t="s">
        <v>45</v>
      </c>
      <c r="K6" s="12" t="s">
        <v>46</v>
      </c>
    </row>
    <row r="7">
      <c r="A7" s="12" t="s">
        <v>15</v>
      </c>
      <c r="B7" s="12" t="s">
        <v>47</v>
      </c>
      <c r="C7" s="12" t="s">
        <v>48</v>
      </c>
      <c r="D7" s="12">
        <v>20</v>
      </c>
      <c r="E7" s="12">
        <f>COUNTIF('Lab Tracker'!$C$4:$C$88,A7)</f>
        <v>5</v>
      </c>
      <c r="F7" s="12">
        <f>COUNTIFS('Lab Tracker'!$C$4:$C$88,A7,'Lab Tracker'!$O$4:$O$88,"Completed")</f>
        <v>0</v>
      </c>
      <c r="G7" s="13">
        <f>IFERROR(AVERAGEIF('Lab Tracker'!$C$4:$C$88,A7,'Lab Tracker'!$R$4:$R$88),0)</f>
        <v>0</v>
      </c>
      <c r="H7" s="18">
        <f>IFERROR(AVERAGEIF('Lab Tracker'!$C$4:$C$88,A7,'Lab Tracker'!$AB$4:$AB$88),0)</f>
        <v>0</v>
      </c>
      <c r="I7" s="12" t="s">
        <v>36</v>
      </c>
      <c r="J7" s="12" t="s">
        <v>49</v>
      </c>
      <c r="K7" s="12" t="s">
        <v>50</v>
      </c>
    </row>
    <row r="8">
      <c r="A8" s="12" t="s">
        <v>16</v>
      </c>
      <c r="B8" s="12" t="s">
        <v>51</v>
      </c>
      <c r="C8" s="12" t="s">
        <v>35</v>
      </c>
      <c r="D8" s="12">
        <v>24</v>
      </c>
      <c r="E8" s="12">
        <f>COUNTIF('Lab Tracker'!$C$4:$C$88,A8)</f>
        <v>5</v>
      </c>
      <c r="F8" s="12">
        <f>COUNTIFS('Lab Tracker'!$C$4:$C$88,A8,'Lab Tracker'!$O$4:$O$88,"Completed")</f>
        <v>0</v>
      </c>
      <c r="G8" s="13">
        <f>IFERROR(AVERAGEIF('Lab Tracker'!$C$4:$C$88,A8,'Lab Tracker'!$R$4:$R$88),0)</f>
        <v>0</v>
      </c>
      <c r="H8" s="18">
        <f>IFERROR(AVERAGEIF('Lab Tracker'!$C$4:$C$88,A8,'Lab Tracker'!$AB$4:$AB$88),0)</f>
        <v>0</v>
      </c>
      <c r="I8" s="12" t="s">
        <v>41</v>
      </c>
      <c r="J8" s="12" t="s">
        <v>52</v>
      </c>
      <c r="K8" s="12" t="s">
        <v>53</v>
      </c>
    </row>
    <row r="9">
      <c r="A9" s="12" t="s">
        <v>17</v>
      </c>
      <c r="B9" s="12" t="s">
        <v>54</v>
      </c>
      <c r="C9" s="12" t="s">
        <v>55</v>
      </c>
      <c r="D9" s="12">
        <v>32</v>
      </c>
      <c r="E9" s="12">
        <f>COUNTIF('Lab Tracker'!$C$4:$C$88,A9)</f>
        <v>6</v>
      </c>
      <c r="F9" s="12">
        <f>COUNTIFS('Lab Tracker'!$C$4:$C$88,A9,'Lab Tracker'!$O$4:$O$88,"Completed")</f>
        <v>0</v>
      </c>
      <c r="G9" s="13">
        <f>IFERROR(AVERAGEIF('Lab Tracker'!$C$4:$C$88,A9,'Lab Tracker'!$R$4:$R$88),0)</f>
        <v>0</v>
      </c>
      <c r="H9" s="18">
        <f>IFERROR(AVERAGEIF('Lab Tracker'!$C$4:$C$88,A9,'Lab Tracker'!$AB$4:$AB$88),0)</f>
        <v>0</v>
      </c>
      <c r="I9" s="12" t="s">
        <v>41</v>
      </c>
      <c r="J9" s="12" t="s">
        <v>56</v>
      </c>
      <c r="K9" s="12" t="s">
        <v>57</v>
      </c>
    </row>
    <row r="10">
      <c r="A10" s="12" t="s">
        <v>18</v>
      </c>
      <c r="B10" s="12" t="s">
        <v>58</v>
      </c>
      <c r="C10" s="12" t="s">
        <v>55</v>
      </c>
      <c r="D10" s="12">
        <v>34</v>
      </c>
      <c r="E10" s="12">
        <f>COUNTIF('Lab Tracker'!$C$4:$C$88,A10)</f>
        <v>6</v>
      </c>
      <c r="F10" s="12">
        <f>COUNTIFS('Lab Tracker'!$C$4:$C$88,A10,'Lab Tracker'!$O$4:$O$88,"Completed")</f>
        <v>0</v>
      </c>
      <c r="G10" s="13">
        <f>IFERROR(AVERAGEIF('Lab Tracker'!$C$4:$C$88,A10,'Lab Tracker'!$R$4:$R$88),0)</f>
        <v>0</v>
      </c>
      <c r="H10" s="18">
        <f>IFERROR(AVERAGEIF('Lab Tracker'!$C$4:$C$88,A10,'Lab Tracker'!$AB$4:$AB$88),0)</f>
        <v>0</v>
      </c>
      <c r="I10" s="12" t="s">
        <v>41</v>
      </c>
      <c r="J10" s="12" t="s">
        <v>59</v>
      </c>
      <c r="K10" s="12" t="s">
        <v>60</v>
      </c>
    </row>
    <row r="11">
      <c r="A11" s="12" t="s">
        <v>19</v>
      </c>
      <c r="B11" s="12" t="s">
        <v>61</v>
      </c>
      <c r="C11" s="12" t="s">
        <v>55</v>
      </c>
      <c r="D11" s="12">
        <v>30</v>
      </c>
      <c r="E11" s="12">
        <f>COUNTIF('Lab Tracker'!$C$4:$C$88,A11)</f>
        <v>6</v>
      </c>
      <c r="F11" s="12">
        <f>COUNTIFS('Lab Tracker'!$C$4:$C$88,A11,'Lab Tracker'!$O$4:$O$88,"Completed")</f>
        <v>0</v>
      </c>
      <c r="G11" s="13">
        <f>IFERROR(AVERAGEIF('Lab Tracker'!$C$4:$C$88,A11,'Lab Tracker'!$R$4:$R$88),0)</f>
        <v>0</v>
      </c>
      <c r="H11" s="18">
        <f>IFERROR(AVERAGEIF('Lab Tracker'!$C$4:$C$88,A11,'Lab Tracker'!$AB$4:$AB$88),0)</f>
        <v>0</v>
      </c>
      <c r="I11" s="12" t="s">
        <v>41</v>
      </c>
      <c r="J11" s="12" t="s">
        <v>62</v>
      </c>
      <c r="K11" s="12" t="s">
        <v>63</v>
      </c>
    </row>
    <row r="12">
      <c r="A12" s="12" t="s">
        <v>20</v>
      </c>
      <c r="B12" s="12" t="s">
        <v>64</v>
      </c>
      <c r="C12" s="12" t="s">
        <v>65</v>
      </c>
      <c r="D12" s="12">
        <v>38</v>
      </c>
      <c r="E12" s="12">
        <f>COUNTIF('Lab Tracker'!$C$4:$C$88,A12)</f>
        <v>7</v>
      </c>
      <c r="F12" s="12">
        <f>COUNTIFS('Lab Tracker'!$C$4:$C$88,A12,'Lab Tracker'!$O$4:$O$88,"Completed")</f>
        <v>0</v>
      </c>
      <c r="G12" s="13">
        <f>IFERROR(AVERAGEIF('Lab Tracker'!$C$4:$C$88,A12,'Lab Tracker'!$R$4:$R$88),0)</f>
        <v>0</v>
      </c>
      <c r="H12" s="18">
        <f>IFERROR(AVERAGEIF('Lab Tracker'!$C$4:$C$88,A12,'Lab Tracker'!$AB$4:$AB$88),0)</f>
        <v>0</v>
      </c>
      <c r="I12" s="12" t="s">
        <v>41</v>
      </c>
      <c r="J12" s="12" t="s">
        <v>66</v>
      </c>
      <c r="K12" s="12" t="s">
        <v>67</v>
      </c>
    </row>
    <row r="13">
      <c r="A13" s="12" t="s">
        <v>21</v>
      </c>
      <c r="B13" s="12" t="s">
        <v>68</v>
      </c>
      <c r="C13" s="12" t="s">
        <v>40</v>
      </c>
      <c r="D13" s="12">
        <v>44</v>
      </c>
      <c r="E13" s="12">
        <f>COUNTIF('Lab Tracker'!$C$4:$C$88,A13)</f>
        <v>8</v>
      </c>
      <c r="F13" s="12">
        <f>COUNTIFS('Lab Tracker'!$C$4:$C$88,A13,'Lab Tracker'!$O$4:$O$88,"Completed")</f>
        <v>0</v>
      </c>
      <c r="G13" s="13">
        <f>IFERROR(AVERAGEIF('Lab Tracker'!$C$4:$C$88,A13,'Lab Tracker'!$R$4:$R$88),0)</f>
        <v>0</v>
      </c>
      <c r="H13" s="18">
        <f>IFERROR(AVERAGEIF('Lab Tracker'!$C$4:$C$88,A13,'Lab Tracker'!$AB$4:$AB$88),0)</f>
        <v>0</v>
      </c>
      <c r="I13" s="12" t="s">
        <v>41</v>
      </c>
      <c r="J13" s="12" t="s">
        <v>69</v>
      </c>
      <c r="K13" s="12" t="s">
        <v>70</v>
      </c>
    </row>
    <row r="14">
      <c r="A14" s="12" t="s">
        <v>22</v>
      </c>
      <c r="B14" s="12" t="s">
        <v>71</v>
      </c>
      <c r="C14" s="12" t="s">
        <v>65</v>
      </c>
      <c r="D14" s="12">
        <v>36</v>
      </c>
      <c r="E14" s="12">
        <f>COUNTIF('Lab Tracker'!$C$4:$C$88,A14)</f>
        <v>7</v>
      </c>
      <c r="F14" s="12">
        <f>COUNTIFS('Lab Tracker'!$C$4:$C$88,A14,'Lab Tracker'!$O$4:$O$88,"Completed")</f>
        <v>0</v>
      </c>
      <c r="G14" s="13">
        <f>IFERROR(AVERAGEIF('Lab Tracker'!$C$4:$C$88,A14,'Lab Tracker'!$R$4:$R$88),0)</f>
        <v>0</v>
      </c>
      <c r="H14" s="18">
        <f>IFERROR(AVERAGEIF('Lab Tracker'!$C$4:$C$88,A14,'Lab Tracker'!$AB$4:$AB$88),0)</f>
        <v>0</v>
      </c>
      <c r="I14" s="12" t="s">
        <v>72</v>
      </c>
      <c r="J14" s="12" t="s">
        <v>73</v>
      </c>
      <c r="K14" s="12" t="s">
        <v>74</v>
      </c>
    </row>
    <row r="15">
      <c r="A15" s="12" t="s">
        <v>23</v>
      </c>
      <c r="B15" s="12" t="s">
        <v>75</v>
      </c>
      <c r="C15" s="12" t="s">
        <v>76</v>
      </c>
      <c r="D15" s="12">
        <v>48</v>
      </c>
      <c r="E15" s="12">
        <f>COUNTIF('Lab Tracker'!$C$4:$C$88,A15)</f>
        <v>8</v>
      </c>
      <c r="F15" s="12">
        <f>COUNTIFS('Lab Tracker'!$C$4:$C$88,A15,'Lab Tracker'!$O$4:$O$88,"Completed")</f>
        <v>0</v>
      </c>
      <c r="G15" s="13">
        <f>IFERROR(AVERAGEIF('Lab Tracker'!$C$4:$C$88,A15,'Lab Tracker'!$R$4:$R$88),0)</f>
        <v>0</v>
      </c>
      <c r="H15" s="18">
        <f>IFERROR(AVERAGEIF('Lab Tracker'!$C$4:$C$88,A15,'Lab Tracker'!$AB$4:$AB$88),0)</f>
        <v>0</v>
      </c>
      <c r="I15" s="12" t="s">
        <v>77</v>
      </c>
      <c r="J15" s="12" t="s">
        <v>78</v>
      </c>
      <c r="K15" s="12" t="s">
        <v>79</v>
      </c>
    </row>
    <row r="16">
      <c r="A16" s="14" t="s">
        <v>24</v>
      </c>
      <c r="B16" s="14" t="s">
        <v>80</v>
      </c>
      <c r="C16" s="14" t="s">
        <v>81</v>
      </c>
      <c r="D16" s="14">
        <v>54</v>
      </c>
      <c r="E16" s="14">
        <f>COUNTIF('Lab Tracker'!$C$4:$C$88,A16)</f>
        <v>6</v>
      </c>
      <c r="F16" s="14">
        <f>COUNTIFS('Lab Tracker'!$C$4:$C$88,A16,'Lab Tracker'!$O$4:$O$88,"Completed")</f>
        <v>0</v>
      </c>
      <c r="G16" s="15">
        <f>IFERROR(AVERAGEIF('Lab Tracker'!$C$4:$C$88,A16,'Lab Tracker'!$R$4:$R$88),0)</f>
        <v>0</v>
      </c>
      <c r="H16" s="19">
        <f>IFERROR(AVERAGEIF('Lab Tracker'!$C$4:$C$88,A16,'Lab Tracker'!$AB$4:$AB$88),0)</f>
        <v>0</v>
      </c>
      <c r="I16" s="14" t="s">
        <v>82</v>
      </c>
      <c r="J16" s="14" t="s">
        <v>83</v>
      </c>
      <c r="K16" s="14" t="s">
        <v>84</v>
      </c>
    </row>
  </sheetData>
  <mergeCells count="2">
    <mergeCell ref="A1:K1"/>
    <mergeCell ref="A2:K2"/>
  </mergeCells>
  <conditionalFormatting sqref="H4:H16">
    <cfRule type="colorScale" priority="2">
      <colorScale>
        <cfvo type="min"/>
        <cfvo type="percentile" val="50"/>
        <cfvo type="max"/>
        <color rgb="FFFADADD"/>
        <color rgb="FFFFF0C2"/>
        <color rgb="FFDFF3E4"/>
      </colorScale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DE8DB36B-43EA-41A7-8293-E5D7FF5FAF68}">
            <x14:dataBar maxLength="90" minLength="10" axisPosition="automatic" direction="context">
              <x14:cfvo type="min"/>
              <x14:cfvo type="max"/>
              <x14:fillColor rgb="FF00A6B2"/>
            </x14:dataBar>
          </x14:cfRule>
          <xm:sqref>G4:G16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M1" zoomScale="100" workbookViewId="0">
      <selection activeCell="A1" activeCellId="0" sqref="A1"/>
    </sheetView>
  </sheetViews>
  <sheetFormatPr defaultRowHeight="14.25"/>
  <cols>
    <col customWidth="1" min="1" max="1" width="6"/>
    <col customWidth="1" min="2" max="2" width="12"/>
    <col customWidth="1" min="3" max="3" width="30"/>
    <col customWidth="1" min="4" max="4" width="28"/>
    <col customWidth="1" min="5" max="5" width="42"/>
    <col customWidth="1" min="6" max="6" width="36"/>
    <col customWidth="1" min="7" max="8" width="30"/>
    <col customWidth="1" min="9" max="9" width="34"/>
    <col customWidth="1" min="10" max="10" width="27"/>
    <col customWidth="1" min="11" max="11" width="18"/>
    <col customWidth="1" min="12" max="12" width="13"/>
    <col customWidth="1" min="13" max="13" width="10"/>
    <col customWidth="1" min="14" max="14" width="22"/>
    <col customWidth="1" min="15" max="15" width="16"/>
    <col customWidth="1" min="16" max="16" width="11"/>
    <col customWidth="1" min="17" max="17" width="13"/>
    <col customWidth="1" min="18" max="18" width="11"/>
    <col customWidth="1" min="19" max="19" width="13"/>
    <col customWidth="1" min="20" max="20" width="14"/>
    <col customWidth="1" min="21" max="21" width="38"/>
    <col customWidth="1" hidden="1" min="22" max="22" width="43"/>
    <col customWidth="1" hidden="1" min="23" max="23" width="44"/>
    <col customWidth="1" hidden="1" min="24" max="25" width="42"/>
    <col customWidth="1" hidden="1" min="26" max="26" width="43"/>
    <col customWidth="1" hidden="1" min="27" max="27" width="28"/>
    <col customWidth="1" min="28" max="28" width="13"/>
    <col customWidth="1" min="29" max="29" width="14"/>
    <col customWidth="1" min="30" max="30" width="24"/>
  </cols>
  <sheetData>
    <row r="1" ht="34" customHeight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0" customHeight="1">
      <c r="A2" s="3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32" customHeight="1">
      <c r="A3" s="7" t="s">
        <v>87</v>
      </c>
      <c r="B3" s="8" t="s">
        <v>88</v>
      </c>
      <c r="C3" s="8" t="s">
        <v>6</v>
      </c>
      <c r="D3" s="8" t="s">
        <v>89</v>
      </c>
      <c r="E3" s="8" t="s">
        <v>90</v>
      </c>
      <c r="F3" s="8" t="s">
        <v>91</v>
      </c>
      <c r="G3" s="8" t="s">
        <v>92</v>
      </c>
      <c r="H3" s="8" t="s">
        <v>93</v>
      </c>
      <c r="I3" s="8" t="s">
        <v>94</v>
      </c>
      <c r="J3" s="8" t="s">
        <v>95</v>
      </c>
      <c r="K3" s="8" t="s">
        <v>96</v>
      </c>
      <c r="L3" s="8" t="s">
        <v>97</v>
      </c>
      <c r="M3" s="8" t="s">
        <v>98</v>
      </c>
      <c r="N3" s="8" t="s">
        <v>99</v>
      </c>
      <c r="O3" s="8" t="s">
        <v>100</v>
      </c>
      <c r="P3" s="8" t="s">
        <v>101</v>
      </c>
      <c r="Q3" s="8" t="s">
        <v>102</v>
      </c>
      <c r="R3" s="8" t="s">
        <v>103</v>
      </c>
      <c r="S3" s="8" t="s">
        <v>104</v>
      </c>
      <c r="T3" s="8" t="s">
        <v>105</v>
      </c>
      <c r="U3" s="8" t="s">
        <v>106</v>
      </c>
      <c r="V3" s="8" t="s">
        <v>107</v>
      </c>
      <c r="W3" s="8" t="s">
        <v>108</v>
      </c>
      <c r="X3" s="8" t="s">
        <v>109</v>
      </c>
      <c r="Y3" s="8" t="s">
        <v>110</v>
      </c>
      <c r="Z3" s="8" t="s">
        <v>111</v>
      </c>
      <c r="AA3" s="8" t="s">
        <v>112</v>
      </c>
      <c r="AB3" s="8" t="s">
        <v>113</v>
      </c>
      <c r="AC3" s="8" t="s">
        <v>114</v>
      </c>
      <c r="AD3" s="9" t="s">
        <v>115</v>
      </c>
    </row>
    <row r="4" ht="51">
      <c r="A4" s="20">
        <v>1</v>
      </c>
      <c r="B4" s="10" t="s">
        <v>116</v>
      </c>
      <c r="C4" s="10" t="s">
        <v>12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20" t="s">
        <v>124</v>
      </c>
      <c r="L4" s="20" t="s">
        <v>125</v>
      </c>
      <c r="M4" s="20">
        <v>3</v>
      </c>
      <c r="N4" s="20"/>
      <c r="O4" s="20" t="s">
        <v>126</v>
      </c>
      <c r="P4" s="20">
        <v>2</v>
      </c>
      <c r="Q4" s="20">
        <v>1</v>
      </c>
      <c r="R4" s="21">
        <f t="shared" ref="R4:R9" si="0">IFERROR(MIN(Q4/P4,1),0)</f>
        <v>0.5</v>
      </c>
      <c r="S4" s="22"/>
      <c r="T4" s="20" t="s">
        <v>127</v>
      </c>
      <c r="U4" s="10" t="s">
        <v>128</v>
      </c>
      <c r="V4" s="10" t="s">
        <v>129</v>
      </c>
      <c r="W4" s="10" t="s">
        <v>130</v>
      </c>
      <c r="X4" s="10" t="s">
        <v>131</v>
      </c>
      <c r="Y4" s="10" t="s">
        <v>132</v>
      </c>
      <c r="Z4" s="10" t="s">
        <v>133</v>
      </c>
      <c r="AA4" s="10"/>
      <c r="AB4" s="20">
        <v>0</v>
      </c>
      <c r="AC4" s="20" t="str">
        <f t="shared" ref="AC4:AC9" si="1">IF(AB4&gt;=9,"Expert",IF(AB4&gt;=7,"Mastered",IF(AB4&gt;=4,"Developing","Foundation")))</f>
        <v>Foundation</v>
      </c>
      <c r="AD4" s="10" t="s">
        <v>36</v>
      </c>
    </row>
    <row r="5" ht="51">
      <c r="A5" s="23">
        <v>2</v>
      </c>
      <c r="B5" s="12" t="s">
        <v>134</v>
      </c>
      <c r="C5" s="12" t="s">
        <v>12</v>
      </c>
      <c r="D5" s="12" t="s">
        <v>135</v>
      </c>
      <c r="E5" s="12" t="s">
        <v>136</v>
      </c>
      <c r="F5" s="12" t="s">
        <v>137</v>
      </c>
      <c r="G5" s="12" t="s">
        <v>138</v>
      </c>
      <c r="H5" s="12" t="s">
        <v>121</v>
      </c>
      <c r="I5" s="12" t="s">
        <v>139</v>
      </c>
      <c r="J5" s="12" t="s">
        <v>123</v>
      </c>
      <c r="K5" s="23" t="s">
        <v>124</v>
      </c>
      <c r="L5" s="23" t="s">
        <v>125</v>
      </c>
      <c r="M5" s="23">
        <v>3</v>
      </c>
      <c r="N5" s="23" t="s">
        <v>116</v>
      </c>
      <c r="O5" s="23" t="s">
        <v>126</v>
      </c>
      <c r="P5" s="23">
        <v>2</v>
      </c>
      <c r="Q5" s="23">
        <v>0</v>
      </c>
      <c r="R5" s="24">
        <f t="shared" si="0"/>
        <v>0</v>
      </c>
      <c r="S5" s="25"/>
      <c r="T5" s="23" t="s">
        <v>127</v>
      </c>
      <c r="U5" s="12" t="s">
        <v>140</v>
      </c>
      <c r="V5" s="12" t="s">
        <v>141</v>
      </c>
      <c r="W5" s="12" t="s">
        <v>142</v>
      </c>
      <c r="X5" s="12" t="s">
        <v>131</v>
      </c>
      <c r="Y5" s="12" t="s">
        <v>132</v>
      </c>
      <c r="Z5" s="12" t="s">
        <v>143</v>
      </c>
      <c r="AA5" s="12"/>
      <c r="AB5" s="23">
        <v>0</v>
      </c>
      <c r="AC5" s="23" t="str">
        <f t="shared" si="1"/>
        <v>Foundation</v>
      </c>
      <c r="AD5" s="12" t="s">
        <v>36</v>
      </c>
    </row>
    <row r="6" ht="51">
      <c r="A6" s="23">
        <v>3</v>
      </c>
      <c r="B6" s="12" t="s">
        <v>144</v>
      </c>
      <c r="C6" s="12" t="s">
        <v>12</v>
      </c>
      <c r="D6" s="12" t="s">
        <v>145</v>
      </c>
      <c r="E6" s="12" t="s">
        <v>146</v>
      </c>
      <c r="F6" s="12" t="s">
        <v>147</v>
      </c>
      <c r="G6" s="12" t="s">
        <v>148</v>
      </c>
      <c r="H6" s="12" t="s">
        <v>121</v>
      </c>
      <c r="I6" s="12" t="s">
        <v>149</v>
      </c>
      <c r="J6" s="12" t="s">
        <v>150</v>
      </c>
      <c r="K6" s="23" t="s">
        <v>124</v>
      </c>
      <c r="L6" s="23" t="s">
        <v>151</v>
      </c>
      <c r="M6" s="23">
        <v>4</v>
      </c>
      <c r="N6" s="23" t="s">
        <v>116</v>
      </c>
      <c r="O6" s="23" t="s">
        <v>126</v>
      </c>
      <c r="P6" s="23">
        <v>2</v>
      </c>
      <c r="Q6" s="23">
        <v>0</v>
      </c>
      <c r="R6" s="24">
        <f t="shared" si="0"/>
        <v>0</v>
      </c>
      <c r="S6" s="25"/>
      <c r="T6" s="23" t="s">
        <v>127</v>
      </c>
      <c r="U6" s="12" t="s">
        <v>152</v>
      </c>
      <c r="V6" s="12" t="s">
        <v>153</v>
      </c>
      <c r="W6" s="12" t="s">
        <v>154</v>
      </c>
      <c r="X6" s="12" t="s">
        <v>131</v>
      </c>
      <c r="Y6" s="12" t="s">
        <v>132</v>
      </c>
      <c r="Z6" s="12" t="s">
        <v>155</v>
      </c>
      <c r="AA6" s="12"/>
      <c r="AB6" s="23">
        <v>0</v>
      </c>
      <c r="AC6" s="23" t="str">
        <f t="shared" si="1"/>
        <v>Foundation</v>
      </c>
      <c r="AD6" s="12" t="s">
        <v>36</v>
      </c>
    </row>
    <row r="7" ht="51">
      <c r="A7" s="23">
        <v>4</v>
      </c>
      <c r="B7" s="12" t="s">
        <v>156</v>
      </c>
      <c r="C7" s="12" t="s">
        <v>12</v>
      </c>
      <c r="D7" s="12" t="s">
        <v>157</v>
      </c>
      <c r="E7" s="12" t="s">
        <v>158</v>
      </c>
      <c r="F7" s="12" t="s">
        <v>159</v>
      </c>
      <c r="G7" s="12" t="s">
        <v>160</v>
      </c>
      <c r="H7" s="12" t="s">
        <v>121</v>
      </c>
      <c r="I7" s="12" t="s">
        <v>161</v>
      </c>
      <c r="J7" s="12" t="s">
        <v>123</v>
      </c>
      <c r="K7" s="23" t="s">
        <v>124</v>
      </c>
      <c r="L7" s="23" t="s">
        <v>151</v>
      </c>
      <c r="M7" s="23">
        <v>4</v>
      </c>
      <c r="N7" s="23" t="s">
        <v>134</v>
      </c>
      <c r="O7" s="23" t="s">
        <v>126</v>
      </c>
      <c r="P7" s="23">
        <v>2</v>
      </c>
      <c r="Q7" s="23">
        <v>0</v>
      </c>
      <c r="R7" s="24">
        <f t="shared" si="0"/>
        <v>0</v>
      </c>
      <c r="S7" s="25"/>
      <c r="T7" s="23" t="s">
        <v>127</v>
      </c>
      <c r="U7" s="12" t="s">
        <v>162</v>
      </c>
      <c r="V7" s="12" t="s">
        <v>163</v>
      </c>
      <c r="W7" s="12" t="s">
        <v>164</v>
      </c>
      <c r="X7" s="12" t="s">
        <v>131</v>
      </c>
      <c r="Y7" s="12" t="s">
        <v>132</v>
      </c>
      <c r="Z7" s="12" t="s">
        <v>165</v>
      </c>
      <c r="AA7" s="12"/>
      <c r="AB7" s="23">
        <v>0</v>
      </c>
      <c r="AC7" s="23" t="str">
        <f t="shared" si="1"/>
        <v>Foundation</v>
      </c>
      <c r="AD7" s="12" t="s">
        <v>41</v>
      </c>
    </row>
    <row r="8" ht="51">
      <c r="A8" s="23">
        <v>5</v>
      </c>
      <c r="B8" s="12" t="s">
        <v>166</v>
      </c>
      <c r="C8" s="12" t="s">
        <v>12</v>
      </c>
      <c r="D8" s="12" t="s">
        <v>167</v>
      </c>
      <c r="E8" s="12" t="s">
        <v>168</v>
      </c>
      <c r="F8" s="12" t="s">
        <v>169</v>
      </c>
      <c r="G8" s="12" t="s">
        <v>170</v>
      </c>
      <c r="H8" s="12" t="s">
        <v>121</v>
      </c>
      <c r="I8" s="12" t="s">
        <v>171</v>
      </c>
      <c r="J8" s="12" t="s">
        <v>172</v>
      </c>
      <c r="K8" s="23" t="s">
        <v>173</v>
      </c>
      <c r="L8" s="23" t="s">
        <v>151</v>
      </c>
      <c r="M8" s="23">
        <v>4</v>
      </c>
      <c r="N8" s="23" t="s">
        <v>174</v>
      </c>
      <c r="O8" s="23" t="s">
        <v>126</v>
      </c>
      <c r="P8" s="23">
        <v>2</v>
      </c>
      <c r="Q8" s="23">
        <v>0</v>
      </c>
      <c r="R8" s="24">
        <f t="shared" si="0"/>
        <v>0</v>
      </c>
      <c r="S8" s="25"/>
      <c r="T8" s="23" t="s">
        <v>127</v>
      </c>
      <c r="U8" s="12" t="s">
        <v>175</v>
      </c>
      <c r="V8" s="12" t="s">
        <v>176</v>
      </c>
      <c r="W8" s="12" t="s">
        <v>177</v>
      </c>
      <c r="X8" s="12" t="s">
        <v>131</v>
      </c>
      <c r="Y8" s="12" t="s">
        <v>132</v>
      </c>
      <c r="Z8" s="12" t="s">
        <v>178</v>
      </c>
      <c r="AA8" s="12"/>
      <c r="AB8" s="23">
        <v>0</v>
      </c>
      <c r="AC8" s="23" t="str">
        <f t="shared" si="1"/>
        <v>Foundation</v>
      </c>
      <c r="AD8" s="12" t="s">
        <v>36</v>
      </c>
    </row>
    <row r="9" ht="51">
      <c r="A9" s="23">
        <v>6</v>
      </c>
      <c r="B9" s="12" t="s">
        <v>179</v>
      </c>
      <c r="C9" s="12" t="s">
        <v>13</v>
      </c>
      <c r="D9" s="12" t="s">
        <v>180</v>
      </c>
      <c r="E9" s="12" t="s">
        <v>181</v>
      </c>
      <c r="F9" s="12" t="s">
        <v>182</v>
      </c>
      <c r="G9" s="12" t="s">
        <v>183</v>
      </c>
      <c r="H9" s="12" t="s">
        <v>121</v>
      </c>
      <c r="I9" s="12" t="s">
        <v>184</v>
      </c>
      <c r="J9" s="12" t="s">
        <v>123</v>
      </c>
      <c r="K9" s="23" t="s">
        <v>124</v>
      </c>
      <c r="L9" s="23" t="s">
        <v>151</v>
      </c>
      <c r="M9" s="23">
        <v>4</v>
      </c>
      <c r="N9" s="23" t="s">
        <v>134</v>
      </c>
      <c r="O9" s="23" t="s">
        <v>126</v>
      </c>
      <c r="P9" s="23">
        <v>2</v>
      </c>
      <c r="Q9" s="23">
        <v>0</v>
      </c>
      <c r="R9" s="24">
        <f t="shared" si="0"/>
        <v>0</v>
      </c>
      <c r="S9" s="25"/>
      <c r="T9" s="23" t="s">
        <v>127</v>
      </c>
      <c r="U9" s="12" t="s">
        <v>185</v>
      </c>
      <c r="V9" s="12" t="s">
        <v>186</v>
      </c>
      <c r="W9" s="12" t="s">
        <v>187</v>
      </c>
      <c r="X9" s="12" t="s">
        <v>131</v>
      </c>
      <c r="Y9" s="12" t="s">
        <v>132</v>
      </c>
      <c r="Z9" s="12" t="s">
        <v>188</v>
      </c>
      <c r="AA9" s="12"/>
      <c r="AB9" s="23">
        <v>0</v>
      </c>
      <c r="AC9" s="23" t="str">
        <f t="shared" si="1"/>
        <v>Foundation</v>
      </c>
      <c r="AD9" s="12" t="s">
        <v>36</v>
      </c>
    </row>
    <row r="10" ht="51">
      <c r="A10" s="23">
        <v>7</v>
      </c>
      <c r="B10" s="12" t="s">
        <v>189</v>
      </c>
      <c r="C10" s="12" t="s">
        <v>13</v>
      </c>
      <c r="D10" s="12" t="s">
        <v>190</v>
      </c>
      <c r="E10" s="12" t="s">
        <v>191</v>
      </c>
      <c r="F10" s="12" t="s">
        <v>192</v>
      </c>
      <c r="G10" s="12" t="s">
        <v>193</v>
      </c>
      <c r="H10" s="12" t="s">
        <v>121</v>
      </c>
      <c r="I10" s="12" t="s">
        <v>194</v>
      </c>
      <c r="J10" s="12" t="s">
        <v>123</v>
      </c>
      <c r="K10" s="23" t="s">
        <v>124</v>
      </c>
      <c r="L10" s="23" t="s">
        <v>151</v>
      </c>
      <c r="M10" s="23">
        <v>4</v>
      </c>
      <c r="N10" s="23" t="s">
        <v>179</v>
      </c>
      <c r="O10" s="23" t="s">
        <v>126</v>
      </c>
      <c r="P10" s="23">
        <v>2</v>
      </c>
      <c r="Q10" s="23">
        <v>0</v>
      </c>
      <c r="R10" s="24">
        <f t="shared" ref="R10:R73" si="2">IFERROR(MIN(Q10/P10,1),0)</f>
        <v>0</v>
      </c>
      <c r="S10" s="25"/>
      <c r="T10" s="23" t="s">
        <v>127</v>
      </c>
      <c r="U10" s="12" t="s">
        <v>195</v>
      </c>
      <c r="V10" s="12" t="s">
        <v>196</v>
      </c>
      <c r="W10" s="12" t="s">
        <v>197</v>
      </c>
      <c r="X10" s="12" t="s">
        <v>131</v>
      </c>
      <c r="Y10" s="12" t="s">
        <v>132</v>
      </c>
      <c r="Z10" s="12" t="s">
        <v>198</v>
      </c>
      <c r="AA10" s="12"/>
      <c r="AB10" s="23">
        <v>0</v>
      </c>
      <c r="AC10" s="23" t="str">
        <f t="shared" ref="AC10:AC73" si="3">IF(AB10&gt;=9,"Expert",IF(AB10&gt;=7,"Mastered",IF(AB10&gt;=4,"Developing","Foundation")))</f>
        <v>Foundation</v>
      </c>
      <c r="AD10" s="12" t="s">
        <v>36</v>
      </c>
    </row>
    <row r="11" ht="51">
      <c r="A11" s="23">
        <v>8</v>
      </c>
      <c r="B11" s="12" t="s">
        <v>199</v>
      </c>
      <c r="C11" s="12" t="s">
        <v>13</v>
      </c>
      <c r="D11" s="12" t="s">
        <v>200</v>
      </c>
      <c r="E11" s="12" t="s">
        <v>201</v>
      </c>
      <c r="F11" s="12" t="s">
        <v>202</v>
      </c>
      <c r="G11" s="12" t="s">
        <v>203</v>
      </c>
      <c r="H11" s="12" t="s">
        <v>121</v>
      </c>
      <c r="I11" s="12" t="s">
        <v>204</v>
      </c>
      <c r="J11" s="12" t="s">
        <v>123</v>
      </c>
      <c r="K11" s="23" t="s">
        <v>124</v>
      </c>
      <c r="L11" s="23" t="s">
        <v>151</v>
      </c>
      <c r="M11" s="23">
        <v>5</v>
      </c>
      <c r="N11" s="23" t="s">
        <v>189</v>
      </c>
      <c r="O11" s="23" t="s">
        <v>126</v>
      </c>
      <c r="P11" s="23">
        <v>2</v>
      </c>
      <c r="Q11" s="23">
        <v>0</v>
      </c>
      <c r="R11" s="24">
        <f t="shared" si="2"/>
        <v>0</v>
      </c>
      <c r="S11" s="25"/>
      <c r="T11" s="23" t="s">
        <v>127</v>
      </c>
      <c r="U11" s="12" t="s">
        <v>205</v>
      </c>
      <c r="V11" s="12" t="s">
        <v>206</v>
      </c>
      <c r="W11" s="12" t="s">
        <v>207</v>
      </c>
      <c r="X11" s="12" t="s">
        <v>131</v>
      </c>
      <c r="Y11" s="12" t="s">
        <v>132</v>
      </c>
      <c r="Z11" s="12" t="s">
        <v>208</v>
      </c>
      <c r="AA11" s="12"/>
      <c r="AB11" s="23">
        <v>0</v>
      </c>
      <c r="AC11" s="23" t="str">
        <f t="shared" si="3"/>
        <v>Foundation</v>
      </c>
      <c r="AD11" s="12" t="s">
        <v>41</v>
      </c>
    </row>
    <row r="12" ht="51">
      <c r="A12" s="23">
        <v>9</v>
      </c>
      <c r="B12" s="12" t="s">
        <v>209</v>
      </c>
      <c r="C12" s="12" t="s">
        <v>13</v>
      </c>
      <c r="D12" s="12" t="s">
        <v>210</v>
      </c>
      <c r="E12" s="12" t="s">
        <v>211</v>
      </c>
      <c r="F12" s="12" t="s">
        <v>212</v>
      </c>
      <c r="G12" s="12" t="s">
        <v>213</v>
      </c>
      <c r="H12" s="12" t="s">
        <v>121</v>
      </c>
      <c r="I12" s="12" t="s">
        <v>214</v>
      </c>
      <c r="J12" s="12" t="s">
        <v>123</v>
      </c>
      <c r="K12" s="23" t="s">
        <v>124</v>
      </c>
      <c r="L12" s="23" t="s">
        <v>151</v>
      </c>
      <c r="M12" s="23">
        <v>5</v>
      </c>
      <c r="N12" s="23" t="s">
        <v>189</v>
      </c>
      <c r="O12" s="23" t="s">
        <v>126</v>
      </c>
      <c r="P12" s="23">
        <v>2</v>
      </c>
      <c r="Q12" s="23">
        <v>0</v>
      </c>
      <c r="R12" s="24">
        <f t="shared" si="2"/>
        <v>0</v>
      </c>
      <c r="S12" s="25"/>
      <c r="T12" s="23" t="s">
        <v>127</v>
      </c>
      <c r="U12" s="12" t="s">
        <v>215</v>
      </c>
      <c r="V12" s="12" t="s">
        <v>216</v>
      </c>
      <c r="W12" s="12" t="s">
        <v>217</v>
      </c>
      <c r="X12" s="12" t="s">
        <v>131</v>
      </c>
      <c r="Y12" s="12" t="s">
        <v>132</v>
      </c>
      <c r="Z12" s="12" t="s">
        <v>218</v>
      </c>
      <c r="AA12" s="12"/>
      <c r="AB12" s="23">
        <v>0</v>
      </c>
      <c r="AC12" s="23" t="str">
        <f t="shared" si="3"/>
        <v>Foundation</v>
      </c>
      <c r="AD12" s="12" t="s">
        <v>41</v>
      </c>
    </row>
    <row r="13" ht="51">
      <c r="A13" s="23">
        <v>10</v>
      </c>
      <c r="B13" s="12" t="s">
        <v>219</v>
      </c>
      <c r="C13" s="12" t="s">
        <v>13</v>
      </c>
      <c r="D13" s="12" t="s">
        <v>220</v>
      </c>
      <c r="E13" s="12" t="s">
        <v>221</v>
      </c>
      <c r="F13" s="12" t="s">
        <v>222</v>
      </c>
      <c r="G13" s="12" t="s">
        <v>223</v>
      </c>
      <c r="H13" s="12" t="s">
        <v>121</v>
      </c>
      <c r="I13" s="12" t="s">
        <v>224</v>
      </c>
      <c r="J13" s="12" t="s">
        <v>123</v>
      </c>
      <c r="K13" s="23" t="s">
        <v>124</v>
      </c>
      <c r="L13" s="23" t="s">
        <v>225</v>
      </c>
      <c r="M13" s="23">
        <v>6</v>
      </c>
      <c r="N13" s="23" t="s">
        <v>199</v>
      </c>
      <c r="O13" s="23" t="s">
        <v>126</v>
      </c>
      <c r="P13" s="23">
        <v>2</v>
      </c>
      <c r="Q13" s="23">
        <v>0</v>
      </c>
      <c r="R13" s="24">
        <f t="shared" si="2"/>
        <v>0</v>
      </c>
      <c r="S13" s="25"/>
      <c r="T13" s="23" t="s">
        <v>127</v>
      </c>
      <c r="U13" s="12" t="s">
        <v>226</v>
      </c>
      <c r="V13" s="12" t="s">
        <v>227</v>
      </c>
      <c r="W13" s="12" t="s">
        <v>228</v>
      </c>
      <c r="X13" s="12" t="s">
        <v>131</v>
      </c>
      <c r="Y13" s="12" t="s">
        <v>132</v>
      </c>
      <c r="Z13" s="12" t="s">
        <v>229</v>
      </c>
      <c r="AA13" s="12"/>
      <c r="AB13" s="23">
        <v>0</v>
      </c>
      <c r="AC13" s="23" t="str">
        <f t="shared" si="3"/>
        <v>Foundation</v>
      </c>
      <c r="AD13" s="12" t="s">
        <v>41</v>
      </c>
    </row>
    <row r="14" ht="51">
      <c r="A14" s="23">
        <v>11</v>
      </c>
      <c r="B14" s="12" t="s">
        <v>230</v>
      </c>
      <c r="C14" s="12" t="s">
        <v>13</v>
      </c>
      <c r="D14" s="12" t="s">
        <v>231</v>
      </c>
      <c r="E14" s="12" t="s">
        <v>232</v>
      </c>
      <c r="F14" s="12" t="s">
        <v>233</v>
      </c>
      <c r="G14" s="12" t="s">
        <v>234</v>
      </c>
      <c r="H14" s="12" t="s">
        <v>121</v>
      </c>
      <c r="I14" s="12" t="s">
        <v>235</v>
      </c>
      <c r="J14" s="12" t="s">
        <v>236</v>
      </c>
      <c r="K14" s="23" t="s">
        <v>173</v>
      </c>
      <c r="L14" s="23" t="s">
        <v>225</v>
      </c>
      <c r="M14" s="23">
        <v>5</v>
      </c>
      <c r="N14" s="23" t="s">
        <v>209</v>
      </c>
      <c r="O14" s="23" t="s">
        <v>126</v>
      </c>
      <c r="P14" s="23">
        <v>2</v>
      </c>
      <c r="Q14" s="23">
        <v>0</v>
      </c>
      <c r="R14" s="24">
        <f t="shared" si="2"/>
        <v>0</v>
      </c>
      <c r="S14" s="25"/>
      <c r="T14" s="23" t="s">
        <v>127</v>
      </c>
      <c r="U14" s="12" t="s">
        <v>237</v>
      </c>
      <c r="V14" s="12" t="s">
        <v>238</v>
      </c>
      <c r="W14" s="12" t="s">
        <v>239</v>
      </c>
      <c r="X14" s="12" t="s">
        <v>131</v>
      </c>
      <c r="Y14" s="12" t="s">
        <v>132</v>
      </c>
      <c r="Z14" s="12" t="s">
        <v>240</v>
      </c>
      <c r="AA14" s="12"/>
      <c r="AB14" s="23">
        <v>0</v>
      </c>
      <c r="AC14" s="23" t="str">
        <f t="shared" si="3"/>
        <v>Foundation</v>
      </c>
      <c r="AD14" s="12" t="s">
        <v>241</v>
      </c>
    </row>
    <row r="15" ht="51">
      <c r="A15" s="23">
        <v>12</v>
      </c>
      <c r="B15" s="12" t="s">
        <v>242</v>
      </c>
      <c r="C15" s="12" t="s">
        <v>13</v>
      </c>
      <c r="D15" s="12" t="s">
        <v>243</v>
      </c>
      <c r="E15" s="12" t="s">
        <v>244</v>
      </c>
      <c r="F15" s="12" t="s">
        <v>245</v>
      </c>
      <c r="G15" s="12" t="s">
        <v>246</v>
      </c>
      <c r="H15" s="12" t="s">
        <v>121</v>
      </c>
      <c r="I15" s="12" t="s">
        <v>247</v>
      </c>
      <c r="J15" s="12" t="s">
        <v>248</v>
      </c>
      <c r="K15" s="23" t="s">
        <v>249</v>
      </c>
      <c r="L15" s="23" t="s">
        <v>225</v>
      </c>
      <c r="M15" s="23">
        <v>5</v>
      </c>
      <c r="N15" s="23" t="s">
        <v>179</v>
      </c>
      <c r="O15" s="23" t="s">
        <v>126</v>
      </c>
      <c r="P15" s="23">
        <v>2</v>
      </c>
      <c r="Q15" s="23">
        <v>0</v>
      </c>
      <c r="R15" s="24">
        <f t="shared" si="2"/>
        <v>0</v>
      </c>
      <c r="S15" s="25"/>
      <c r="T15" s="23" t="s">
        <v>127</v>
      </c>
      <c r="U15" s="12" t="s">
        <v>250</v>
      </c>
      <c r="V15" s="12" t="s">
        <v>251</v>
      </c>
      <c r="W15" s="12" t="s">
        <v>252</v>
      </c>
      <c r="X15" s="12" t="s">
        <v>131</v>
      </c>
      <c r="Y15" s="12" t="s">
        <v>132</v>
      </c>
      <c r="Z15" s="12" t="s">
        <v>253</v>
      </c>
      <c r="AA15" s="12"/>
      <c r="AB15" s="23">
        <v>0</v>
      </c>
      <c r="AC15" s="23" t="str">
        <f t="shared" si="3"/>
        <v>Foundation</v>
      </c>
      <c r="AD15" s="12" t="s">
        <v>41</v>
      </c>
    </row>
    <row r="16" ht="51">
      <c r="A16" s="23">
        <v>13</v>
      </c>
      <c r="B16" s="12" t="s">
        <v>254</v>
      </c>
      <c r="C16" s="12" t="s">
        <v>13</v>
      </c>
      <c r="D16" s="12" t="s">
        <v>255</v>
      </c>
      <c r="E16" s="12" t="s">
        <v>256</v>
      </c>
      <c r="F16" s="12" t="s">
        <v>257</v>
      </c>
      <c r="G16" s="12" t="s">
        <v>138</v>
      </c>
      <c r="H16" s="12" t="s">
        <v>121</v>
      </c>
      <c r="I16" s="12" t="s">
        <v>258</v>
      </c>
      <c r="J16" s="12" t="s">
        <v>259</v>
      </c>
      <c r="K16" s="23" t="s">
        <v>173</v>
      </c>
      <c r="L16" s="23" t="s">
        <v>225</v>
      </c>
      <c r="M16" s="23">
        <v>6</v>
      </c>
      <c r="N16" s="23" t="s">
        <v>260</v>
      </c>
      <c r="O16" s="23" t="s">
        <v>126</v>
      </c>
      <c r="P16" s="23">
        <v>2</v>
      </c>
      <c r="Q16" s="23">
        <v>0</v>
      </c>
      <c r="R16" s="24">
        <f t="shared" si="2"/>
        <v>0</v>
      </c>
      <c r="S16" s="25"/>
      <c r="T16" s="23" t="s">
        <v>127</v>
      </c>
      <c r="U16" s="12" t="s">
        <v>261</v>
      </c>
      <c r="V16" s="12" t="s">
        <v>262</v>
      </c>
      <c r="W16" s="12" t="s">
        <v>263</v>
      </c>
      <c r="X16" s="12" t="s">
        <v>131</v>
      </c>
      <c r="Y16" s="12" t="s">
        <v>132</v>
      </c>
      <c r="Z16" s="12" t="s">
        <v>264</v>
      </c>
      <c r="AA16" s="12"/>
      <c r="AB16" s="23">
        <v>0</v>
      </c>
      <c r="AC16" s="23" t="str">
        <f t="shared" si="3"/>
        <v>Foundation</v>
      </c>
      <c r="AD16" s="12" t="s">
        <v>265</v>
      </c>
    </row>
    <row r="17" ht="51">
      <c r="A17" s="23">
        <v>14</v>
      </c>
      <c r="B17" s="12" t="s">
        <v>266</v>
      </c>
      <c r="C17" s="12" t="s">
        <v>14</v>
      </c>
      <c r="D17" s="12" t="s">
        <v>267</v>
      </c>
      <c r="E17" s="12" t="s">
        <v>268</v>
      </c>
      <c r="F17" s="12" t="s">
        <v>269</v>
      </c>
      <c r="G17" s="12" t="s">
        <v>183</v>
      </c>
      <c r="H17" s="12" t="s">
        <v>121</v>
      </c>
      <c r="I17" s="12" t="s">
        <v>270</v>
      </c>
      <c r="J17" s="12" t="s">
        <v>123</v>
      </c>
      <c r="K17" s="23" t="s">
        <v>124</v>
      </c>
      <c r="L17" s="23" t="s">
        <v>151</v>
      </c>
      <c r="M17" s="23">
        <v>5</v>
      </c>
      <c r="N17" s="23" t="s">
        <v>189</v>
      </c>
      <c r="O17" s="23" t="s">
        <v>126</v>
      </c>
      <c r="P17" s="23">
        <v>2</v>
      </c>
      <c r="Q17" s="23">
        <v>0</v>
      </c>
      <c r="R17" s="24">
        <f t="shared" si="2"/>
        <v>0</v>
      </c>
      <c r="S17" s="25"/>
      <c r="T17" s="23" t="s">
        <v>127</v>
      </c>
      <c r="U17" s="12" t="s">
        <v>271</v>
      </c>
      <c r="V17" s="12" t="s">
        <v>272</v>
      </c>
      <c r="W17" s="12" t="s">
        <v>273</v>
      </c>
      <c r="X17" s="12" t="s">
        <v>131</v>
      </c>
      <c r="Y17" s="12" t="s">
        <v>132</v>
      </c>
      <c r="Z17" s="12" t="s">
        <v>274</v>
      </c>
      <c r="AA17" s="12"/>
      <c r="AB17" s="23">
        <v>0</v>
      </c>
      <c r="AC17" s="23" t="str">
        <f t="shared" si="3"/>
        <v>Foundation</v>
      </c>
      <c r="AD17" s="12" t="s">
        <v>36</v>
      </c>
    </row>
    <row r="18" ht="51">
      <c r="A18" s="23">
        <v>15</v>
      </c>
      <c r="B18" s="12" t="s">
        <v>275</v>
      </c>
      <c r="C18" s="12" t="s">
        <v>14</v>
      </c>
      <c r="D18" s="12" t="s">
        <v>276</v>
      </c>
      <c r="E18" s="12" t="s">
        <v>277</v>
      </c>
      <c r="F18" s="12" t="s">
        <v>278</v>
      </c>
      <c r="G18" s="12" t="s">
        <v>279</v>
      </c>
      <c r="H18" s="12" t="s">
        <v>121</v>
      </c>
      <c r="I18" s="12" t="s">
        <v>280</v>
      </c>
      <c r="J18" s="12" t="s">
        <v>281</v>
      </c>
      <c r="K18" s="23" t="s">
        <v>124</v>
      </c>
      <c r="L18" s="23" t="s">
        <v>225</v>
      </c>
      <c r="M18" s="23">
        <v>6</v>
      </c>
      <c r="N18" s="23" t="s">
        <v>266</v>
      </c>
      <c r="O18" s="23" t="s">
        <v>126</v>
      </c>
      <c r="P18" s="23">
        <v>2</v>
      </c>
      <c r="Q18" s="23">
        <v>0</v>
      </c>
      <c r="R18" s="24">
        <f t="shared" si="2"/>
        <v>0</v>
      </c>
      <c r="S18" s="25"/>
      <c r="T18" s="23" t="s">
        <v>127</v>
      </c>
      <c r="U18" s="12" t="s">
        <v>282</v>
      </c>
      <c r="V18" s="12" t="s">
        <v>283</v>
      </c>
      <c r="W18" s="12" t="s">
        <v>284</v>
      </c>
      <c r="X18" s="12" t="s">
        <v>131</v>
      </c>
      <c r="Y18" s="12" t="s">
        <v>132</v>
      </c>
      <c r="Z18" s="12" t="s">
        <v>285</v>
      </c>
      <c r="AA18" s="12"/>
      <c r="AB18" s="23">
        <v>0</v>
      </c>
      <c r="AC18" s="23" t="str">
        <f t="shared" si="3"/>
        <v>Foundation</v>
      </c>
      <c r="AD18" s="12" t="s">
        <v>41</v>
      </c>
    </row>
    <row r="19" ht="51">
      <c r="A19" s="23">
        <v>16</v>
      </c>
      <c r="B19" s="12" t="s">
        <v>286</v>
      </c>
      <c r="C19" s="12" t="s">
        <v>14</v>
      </c>
      <c r="D19" s="12" t="s">
        <v>287</v>
      </c>
      <c r="E19" s="12" t="s">
        <v>288</v>
      </c>
      <c r="F19" s="12" t="s">
        <v>289</v>
      </c>
      <c r="G19" s="12" t="s">
        <v>290</v>
      </c>
      <c r="H19" s="12" t="s">
        <v>121</v>
      </c>
      <c r="I19" s="12" t="s">
        <v>291</v>
      </c>
      <c r="J19" s="12" t="s">
        <v>292</v>
      </c>
      <c r="K19" s="23" t="s">
        <v>124</v>
      </c>
      <c r="L19" s="23" t="s">
        <v>225</v>
      </c>
      <c r="M19" s="23">
        <v>5</v>
      </c>
      <c r="N19" s="23" t="s">
        <v>275</v>
      </c>
      <c r="O19" s="23" t="s">
        <v>126</v>
      </c>
      <c r="P19" s="23">
        <v>2</v>
      </c>
      <c r="Q19" s="23">
        <v>0</v>
      </c>
      <c r="R19" s="24">
        <f t="shared" si="2"/>
        <v>0</v>
      </c>
      <c r="S19" s="25"/>
      <c r="T19" s="23" t="s">
        <v>127</v>
      </c>
      <c r="U19" s="12" t="s">
        <v>293</v>
      </c>
      <c r="V19" s="12" t="s">
        <v>294</v>
      </c>
      <c r="W19" s="12" t="s">
        <v>295</v>
      </c>
      <c r="X19" s="12" t="s">
        <v>131</v>
      </c>
      <c r="Y19" s="12" t="s">
        <v>132</v>
      </c>
      <c r="Z19" s="12" t="s">
        <v>296</v>
      </c>
      <c r="AA19" s="12"/>
      <c r="AB19" s="23">
        <v>0</v>
      </c>
      <c r="AC19" s="23" t="str">
        <f t="shared" si="3"/>
        <v>Foundation</v>
      </c>
      <c r="AD19" s="12" t="s">
        <v>36</v>
      </c>
    </row>
    <row r="20" ht="51">
      <c r="A20" s="23">
        <v>17</v>
      </c>
      <c r="B20" s="12" t="s">
        <v>297</v>
      </c>
      <c r="C20" s="12" t="s">
        <v>14</v>
      </c>
      <c r="D20" s="12" t="s">
        <v>298</v>
      </c>
      <c r="E20" s="12" t="s">
        <v>299</v>
      </c>
      <c r="F20" s="12" t="s">
        <v>300</v>
      </c>
      <c r="G20" s="12" t="s">
        <v>301</v>
      </c>
      <c r="H20" s="12" t="s">
        <v>121</v>
      </c>
      <c r="I20" s="12" t="s">
        <v>302</v>
      </c>
      <c r="J20" s="12" t="s">
        <v>303</v>
      </c>
      <c r="K20" s="23" t="s">
        <v>173</v>
      </c>
      <c r="L20" s="23" t="s">
        <v>151</v>
      </c>
      <c r="M20" s="23">
        <v>5</v>
      </c>
      <c r="N20" s="23" t="s">
        <v>275</v>
      </c>
      <c r="O20" s="23" t="s">
        <v>126</v>
      </c>
      <c r="P20" s="23">
        <v>2</v>
      </c>
      <c r="Q20" s="23">
        <v>0</v>
      </c>
      <c r="R20" s="24">
        <f t="shared" si="2"/>
        <v>0</v>
      </c>
      <c r="S20" s="25"/>
      <c r="T20" s="23" t="s">
        <v>127</v>
      </c>
      <c r="U20" s="12" t="s">
        <v>304</v>
      </c>
      <c r="V20" s="12" t="s">
        <v>305</v>
      </c>
      <c r="W20" s="12" t="s">
        <v>306</v>
      </c>
      <c r="X20" s="12" t="s">
        <v>131</v>
      </c>
      <c r="Y20" s="12" t="s">
        <v>132</v>
      </c>
      <c r="Z20" s="12" t="s">
        <v>307</v>
      </c>
      <c r="AA20" s="12"/>
      <c r="AB20" s="23">
        <v>0</v>
      </c>
      <c r="AC20" s="23" t="str">
        <f t="shared" si="3"/>
        <v>Foundation</v>
      </c>
      <c r="AD20" s="12" t="s">
        <v>41</v>
      </c>
    </row>
    <row r="21" ht="51">
      <c r="A21" s="23">
        <v>18</v>
      </c>
      <c r="B21" s="12" t="s">
        <v>308</v>
      </c>
      <c r="C21" s="12" t="s">
        <v>14</v>
      </c>
      <c r="D21" s="12" t="s">
        <v>309</v>
      </c>
      <c r="E21" s="12" t="s">
        <v>310</v>
      </c>
      <c r="F21" s="12" t="s">
        <v>311</v>
      </c>
      <c r="G21" s="12" t="s">
        <v>312</v>
      </c>
      <c r="H21" s="12" t="s">
        <v>121</v>
      </c>
      <c r="I21" s="12" t="s">
        <v>313</v>
      </c>
      <c r="J21" s="12" t="s">
        <v>314</v>
      </c>
      <c r="K21" s="23" t="s">
        <v>173</v>
      </c>
      <c r="L21" s="23" t="s">
        <v>225</v>
      </c>
      <c r="M21" s="23">
        <v>6</v>
      </c>
      <c r="N21" s="23" t="s">
        <v>266</v>
      </c>
      <c r="O21" s="23" t="s">
        <v>126</v>
      </c>
      <c r="P21" s="23">
        <v>2</v>
      </c>
      <c r="Q21" s="23">
        <v>0</v>
      </c>
      <c r="R21" s="24">
        <f t="shared" si="2"/>
        <v>0</v>
      </c>
      <c r="S21" s="25"/>
      <c r="T21" s="23" t="s">
        <v>127</v>
      </c>
      <c r="U21" s="12" t="s">
        <v>315</v>
      </c>
      <c r="V21" s="12" t="s">
        <v>316</v>
      </c>
      <c r="W21" s="12" t="s">
        <v>317</v>
      </c>
      <c r="X21" s="12" t="s">
        <v>131</v>
      </c>
      <c r="Y21" s="12" t="s">
        <v>132</v>
      </c>
      <c r="Z21" s="12" t="s">
        <v>318</v>
      </c>
      <c r="AA21" s="12"/>
      <c r="AB21" s="23">
        <v>0</v>
      </c>
      <c r="AC21" s="23" t="str">
        <f t="shared" si="3"/>
        <v>Foundation</v>
      </c>
      <c r="AD21" s="12" t="s">
        <v>41</v>
      </c>
    </row>
    <row r="22" ht="51">
      <c r="A22" s="23">
        <v>19</v>
      </c>
      <c r="B22" s="12" t="s">
        <v>319</v>
      </c>
      <c r="C22" s="12" t="s">
        <v>14</v>
      </c>
      <c r="D22" s="12" t="s">
        <v>320</v>
      </c>
      <c r="E22" s="12" t="s">
        <v>321</v>
      </c>
      <c r="F22" s="12" t="s">
        <v>322</v>
      </c>
      <c r="G22" s="12" t="s">
        <v>323</v>
      </c>
      <c r="H22" s="12" t="s">
        <v>121</v>
      </c>
      <c r="I22" s="12" t="s">
        <v>324</v>
      </c>
      <c r="J22" s="12" t="s">
        <v>325</v>
      </c>
      <c r="K22" s="23" t="s">
        <v>173</v>
      </c>
      <c r="L22" s="23" t="s">
        <v>225</v>
      </c>
      <c r="M22" s="23">
        <v>5</v>
      </c>
      <c r="N22" s="23" t="s">
        <v>308</v>
      </c>
      <c r="O22" s="23" t="s">
        <v>126</v>
      </c>
      <c r="P22" s="23">
        <v>2</v>
      </c>
      <c r="Q22" s="23">
        <v>0</v>
      </c>
      <c r="R22" s="24">
        <f t="shared" si="2"/>
        <v>0</v>
      </c>
      <c r="S22" s="25"/>
      <c r="T22" s="23" t="s">
        <v>127</v>
      </c>
      <c r="U22" s="12" t="s">
        <v>326</v>
      </c>
      <c r="V22" s="12" t="s">
        <v>327</v>
      </c>
      <c r="W22" s="12" t="s">
        <v>328</v>
      </c>
      <c r="X22" s="12" t="s">
        <v>131</v>
      </c>
      <c r="Y22" s="12" t="s">
        <v>132</v>
      </c>
      <c r="Z22" s="12" t="s">
        <v>329</v>
      </c>
      <c r="AA22" s="12"/>
      <c r="AB22" s="23">
        <v>0</v>
      </c>
      <c r="AC22" s="23" t="str">
        <f t="shared" si="3"/>
        <v>Foundation</v>
      </c>
      <c r="AD22" s="12" t="s">
        <v>41</v>
      </c>
    </row>
    <row r="23" ht="51">
      <c r="A23" s="23">
        <v>20</v>
      </c>
      <c r="B23" s="12" t="s">
        <v>330</v>
      </c>
      <c r="C23" s="12" t="s">
        <v>14</v>
      </c>
      <c r="D23" s="12" t="s">
        <v>331</v>
      </c>
      <c r="E23" s="12" t="s">
        <v>332</v>
      </c>
      <c r="F23" s="12" t="s">
        <v>333</v>
      </c>
      <c r="G23" s="12" t="s">
        <v>334</v>
      </c>
      <c r="H23" s="12" t="s">
        <v>121</v>
      </c>
      <c r="I23" s="12" t="s">
        <v>335</v>
      </c>
      <c r="J23" s="12" t="s">
        <v>336</v>
      </c>
      <c r="K23" s="23" t="s">
        <v>124</v>
      </c>
      <c r="L23" s="23" t="s">
        <v>151</v>
      </c>
      <c r="M23" s="23">
        <v>4</v>
      </c>
      <c r="N23" s="23" t="s">
        <v>308</v>
      </c>
      <c r="O23" s="23" t="s">
        <v>126</v>
      </c>
      <c r="P23" s="23">
        <v>2</v>
      </c>
      <c r="Q23" s="23">
        <v>0</v>
      </c>
      <c r="R23" s="24">
        <f t="shared" si="2"/>
        <v>0</v>
      </c>
      <c r="S23" s="25"/>
      <c r="T23" s="23" t="s">
        <v>127</v>
      </c>
      <c r="U23" s="12" t="s">
        <v>337</v>
      </c>
      <c r="V23" s="12" t="s">
        <v>338</v>
      </c>
      <c r="W23" s="12" t="s">
        <v>339</v>
      </c>
      <c r="X23" s="12" t="s">
        <v>131</v>
      </c>
      <c r="Y23" s="12" t="s">
        <v>132</v>
      </c>
      <c r="Z23" s="12" t="s">
        <v>340</v>
      </c>
      <c r="AA23" s="12"/>
      <c r="AB23" s="23">
        <v>0</v>
      </c>
      <c r="AC23" s="23" t="str">
        <f t="shared" si="3"/>
        <v>Foundation</v>
      </c>
      <c r="AD23" s="12" t="s">
        <v>36</v>
      </c>
    </row>
    <row r="24" ht="51">
      <c r="A24" s="23">
        <v>21</v>
      </c>
      <c r="B24" s="12" t="s">
        <v>341</v>
      </c>
      <c r="C24" s="12" t="s">
        <v>14</v>
      </c>
      <c r="D24" s="12" t="s">
        <v>342</v>
      </c>
      <c r="E24" s="12" t="s">
        <v>343</v>
      </c>
      <c r="F24" s="12" t="s">
        <v>344</v>
      </c>
      <c r="G24" s="12" t="s">
        <v>345</v>
      </c>
      <c r="H24" s="12" t="s">
        <v>121</v>
      </c>
      <c r="I24" s="12" t="s">
        <v>346</v>
      </c>
      <c r="J24" s="12" t="s">
        <v>347</v>
      </c>
      <c r="K24" s="23" t="s">
        <v>124</v>
      </c>
      <c r="L24" s="23" t="s">
        <v>225</v>
      </c>
      <c r="M24" s="23">
        <v>6</v>
      </c>
      <c r="N24" s="23" t="s">
        <v>348</v>
      </c>
      <c r="O24" s="23" t="s">
        <v>126</v>
      </c>
      <c r="P24" s="23">
        <v>2</v>
      </c>
      <c r="Q24" s="23">
        <v>0</v>
      </c>
      <c r="R24" s="24">
        <f t="shared" si="2"/>
        <v>0</v>
      </c>
      <c r="S24" s="25"/>
      <c r="T24" s="23" t="s">
        <v>127</v>
      </c>
      <c r="U24" s="12" t="s">
        <v>349</v>
      </c>
      <c r="V24" s="12" t="s">
        <v>350</v>
      </c>
      <c r="W24" s="12" t="s">
        <v>351</v>
      </c>
      <c r="X24" s="12" t="s">
        <v>131</v>
      </c>
      <c r="Y24" s="12" t="s">
        <v>132</v>
      </c>
      <c r="Z24" s="12" t="s">
        <v>352</v>
      </c>
      <c r="AA24" s="12"/>
      <c r="AB24" s="23">
        <v>0</v>
      </c>
      <c r="AC24" s="23" t="str">
        <f t="shared" si="3"/>
        <v>Foundation</v>
      </c>
      <c r="AD24" s="12" t="s">
        <v>265</v>
      </c>
    </row>
    <row r="25" ht="51">
      <c r="A25" s="23">
        <v>22</v>
      </c>
      <c r="B25" s="12" t="s">
        <v>353</v>
      </c>
      <c r="C25" s="12" t="s">
        <v>15</v>
      </c>
      <c r="D25" s="12" t="s">
        <v>354</v>
      </c>
      <c r="E25" s="12" t="s">
        <v>355</v>
      </c>
      <c r="F25" s="12" t="s">
        <v>356</v>
      </c>
      <c r="G25" s="12" t="s">
        <v>357</v>
      </c>
      <c r="H25" s="12" t="s">
        <v>121</v>
      </c>
      <c r="I25" s="12" t="s">
        <v>358</v>
      </c>
      <c r="J25" s="12" t="s">
        <v>123</v>
      </c>
      <c r="K25" s="23" t="s">
        <v>124</v>
      </c>
      <c r="L25" s="23" t="s">
        <v>151</v>
      </c>
      <c r="M25" s="23">
        <v>4</v>
      </c>
      <c r="N25" s="23" t="s">
        <v>359</v>
      </c>
      <c r="O25" s="23" t="s">
        <v>126</v>
      </c>
      <c r="P25" s="23">
        <v>2</v>
      </c>
      <c r="Q25" s="23">
        <v>0</v>
      </c>
      <c r="R25" s="24">
        <f t="shared" si="2"/>
        <v>0</v>
      </c>
      <c r="S25" s="25"/>
      <c r="T25" s="23" t="s">
        <v>127</v>
      </c>
      <c r="U25" s="12" t="s">
        <v>360</v>
      </c>
      <c r="V25" s="12" t="s">
        <v>361</v>
      </c>
      <c r="W25" s="12" t="s">
        <v>362</v>
      </c>
      <c r="X25" s="12" t="s">
        <v>131</v>
      </c>
      <c r="Y25" s="12" t="s">
        <v>132</v>
      </c>
      <c r="Z25" s="12" t="s">
        <v>363</v>
      </c>
      <c r="AA25" s="12"/>
      <c r="AB25" s="23">
        <v>0</v>
      </c>
      <c r="AC25" s="23" t="str">
        <f t="shared" si="3"/>
        <v>Foundation</v>
      </c>
      <c r="AD25" s="12" t="s">
        <v>36</v>
      </c>
    </row>
    <row r="26" ht="51">
      <c r="A26" s="23">
        <v>23</v>
      </c>
      <c r="B26" s="12" t="s">
        <v>364</v>
      </c>
      <c r="C26" s="12" t="s">
        <v>15</v>
      </c>
      <c r="D26" s="12" t="s">
        <v>365</v>
      </c>
      <c r="E26" s="12" t="s">
        <v>366</v>
      </c>
      <c r="F26" s="12" t="s">
        <v>367</v>
      </c>
      <c r="G26" s="12" t="s">
        <v>368</v>
      </c>
      <c r="H26" s="12" t="s">
        <v>121</v>
      </c>
      <c r="I26" s="12" t="s">
        <v>369</v>
      </c>
      <c r="J26" s="12" t="s">
        <v>123</v>
      </c>
      <c r="K26" s="23" t="s">
        <v>124</v>
      </c>
      <c r="L26" s="23" t="s">
        <v>151</v>
      </c>
      <c r="M26" s="23">
        <v>5</v>
      </c>
      <c r="N26" s="23" t="s">
        <v>353</v>
      </c>
      <c r="O26" s="23" t="s">
        <v>126</v>
      </c>
      <c r="P26" s="23">
        <v>2</v>
      </c>
      <c r="Q26" s="23">
        <v>0</v>
      </c>
      <c r="R26" s="24">
        <f t="shared" si="2"/>
        <v>0</v>
      </c>
      <c r="S26" s="25"/>
      <c r="T26" s="23" t="s">
        <v>127</v>
      </c>
      <c r="U26" s="12" t="s">
        <v>370</v>
      </c>
      <c r="V26" s="12" t="s">
        <v>371</v>
      </c>
      <c r="W26" s="12" t="s">
        <v>372</v>
      </c>
      <c r="X26" s="12" t="s">
        <v>131</v>
      </c>
      <c r="Y26" s="12" t="s">
        <v>132</v>
      </c>
      <c r="Z26" s="12" t="s">
        <v>373</v>
      </c>
      <c r="AA26" s="12"/>
      <c r="AB26" s="23">
        <v>0</v>
      </c>
      <c r="AC26" s="23" t="str">
        <f t="shared" si="3"/>
        <v>Foundation</v>
      </c>
      <c r="AD26" s="12" t="s">
        <v>36</v>
      </c>
    </row>
    <row r="27" ht="51">
      <c r="A27" s="23">
        <v>24</v>
      </c>
      <c r="B27" s="12" t="s">
        <v>374</v>
      </c>
      <c r="C27" s="12" t="s">
        <v>15</v>
      </c>
      <c r="D27" s="12" t="s">
        <v>375</v>
      </c>
      <c r="E27" s="12" t="s">
        <v>376</v>
      </c>
      <c r="F27" s="12" t="s">
        <v>377</v>
      </c>
      <c r="G27" s="12" t="s">
        <v>378</v>
      </c>
      <c r="H27" s="12" t="s">
        <v>121</v>
      </c>
      <c r="I27" s="12" t="s">
        <v>379</v>
      </c>
      <c r="J27" s="12" t="s">
        <v>123</v>
      </c>
      <c r="K27" s="23" t="s">
        <v>124</v>
      </c>
      <c r="L27" s="23" t="s">
        <v>225</v>
      </c>
      <c r="M27" s="23">
        <v>5</v>
      </c>
      <c r="N27" s="23" t="s">
        <v>364</v>
      </c>
      <c r="O27" s="23" t="s">
        <v>126</v>
      </c>
      <c r="P27" s="23">
        <v>2</v>
      </c>
      <c r="Q27" s="23">
        <v>0</v>
      </c>
      <c r="R27" s="24">
        <f t="shared" si="2"/>
        <v>0</v>
      </c>
      <c r="S27" s="25"/>
      <c r="T27" s="23" t="s">
        <v>127</v>
      </c>
      <c r="U27" s="12" t="s">
        <v>380</v>
      </c>
      <c r="V27" s="12" t="s">
        <v>381</v>
      </c>
      <c r="W27" s="12" t="s">
        <v>382</v>
      </c>
      <c r="X27" s="12" t="s">
        <v>131</v>
      </c>
      <c r="Y27" s="12" t="s">
        <v>132</v>
      </c>
      <c r="Z27" s="12" t="s">
        <v>383</v>
      </c>
      <c r="AA27" s="12"/>
      <c r="AB27" s="23">
        <v>0</v>
      </c>
      <c r="AC27" s="23" t="str">
        <f t="shared" si="3"/>
        <v>Foundation</v>
      </c>
      <c r="AD27" s="12" t="s">
        <v>41</v>
      </c>
    </row>
    <row r="28" ht="38.25">
      <c r="A28" s="23">
        <v>25</v>
      </c>
      <c r="B28" s="12" t="s">
        <v>384</v>
      </c>
      <c r="C28" s="12" t="s">
        <v>15</v>
      </c>
      <c r="D28" s="12" t="s">
        <v>385</v>
      </c>
      <c r="E28" s="12" t="s">
        <v>386</v>
      </c>
      <c r="F28" s="12" t="s">
        <v>387</v>
      </c>
      <c r="G28" s="12" t="s">
        <v>388</v>
      </c>
      <c r="H28" s="12" t="s">
        <v>121</v>
      </c>
      <c r="I28" s="12" t="s">
        <v>389</v>
      </c>
      <c r="J28" s="12" t="s">
        <v>390</v>
      </c>
      <c r="K28" s="23" t="s">
        <v>173</v>
      </c>
      <c r="L28" s="23" t="s">
        <v>225</v>
      </c>
      <c r="M28" s="23">
        <v>5</v>
      </c>
      <c r="N28" s="23" t="s">
        <v>391</v>
      </c>
      <c r="O28" s="23" t="s">
        <v>126</v>
      </c>
      <c r="P28" s="23">
        <v>2</v>
      </c>
      <c r="Q28" s="23">
        <v>0</v>
      </c>
      <c r="R28" s="24">
        <f t="shared" si="2"/>
        <v>0</v>
      </c>
      <c r="S28" s="25"/>
      <c r="T28" s="23" t="s">
        <v>127</v>
      </c>
      <c r="U28" s="12" t="s">
        <v>392</v>
      </c>
      <c r="V28" s="12" t="s">
        <v>393</v>
      </c>
      <c r="W28" s="12" t="s">
        <v>394</v>
      </c>
      <c r="X28" s="12" t="s">
        <v>131</v>
      </c>
      <c r="Y28" s="12" t="s">
        <v>132</v>
      </c>
      <c r="Z28" s="12" t="s">
        <v>395</v>
      </c>
      <c r="AA28" s="12"/>
      <c r="AB28" s="23">
        <v>0</v>
      </c>
      <c r="AC28" s="23" t="str">
        <f t="shared" si="3"/>
        <v>Foundation</v>
      </c>
      <c r="AD28" s="12" t="s">
        <v>241</v>
      </c>
    </row>
    <row r="29" ht="51">
      <c r="A29" s="23">
        <v>26</v>
      </c>
      <c r="B29" s="12" t="s">
        <v>396</v>
      </c>
      <c r="C29" s="12" t="s">
        <v>15</v>
      </c>
      <c r="D29" s="12" t="s">
        <v>397</v>
      </c>
      <c r="E29" s="12" t="s">
        <v>398</v>
      </c>
      <c r="F29" s="12" t="s">
        <v>399</v>
      </c>
      <c r="G29" s="12" t="s">
        <v>400</v>
      </c>
      <c r="H29" s="12" t="s">
        <v>121</v>
      </c>
      <c r="I29" s="12" t="s">
        <v>401</v>
      </c>
      <c r="J29" s="12" t="s">
        <v>402</v>
      </c>
      <c r="K29" s="23" t="s">
        <v>124</v>
      </c>
      <c r="L29" s="23" t="s">
        <v>225</v>
      </c>
      <c r="M29" s="23">
        <v>6</v>
      </c>
      <c r="N29" s="23" t="s">
        <v>403</v>
      </c>
      <c r="O29" s="23" t="s">
        <v>126</v>
      </c>
      <c r="P29" s="23">
        <v>2</v>
      </c>
      <c r="Q29" s="23">
        <v>0</v>
      </c>
      <c r="R29" s="24">
        <f t="shared" si="2"/>
        <v>0</v>
      </c>
      <c r="S29" s="25"/>
      <c r="T29" s="23" t="s">
        <v>127</v>
      </c>
      <c r="U29" s="12" t="s">
        <v>404</v>
      </c>
      <c r="V29" s="12" t="s">
        <v>405</v>
      </c>
      <c r="W29" s="12" t="s">
        <v>406</v>
      </c>
      <c r="X29" s="12" t="s">
        <v>131</v>
      </c>
      <c r="Y29" s="12" t="s">
        <v>132</v>
      </c>
      <c r="Z29" s="12" t="s">
        <v>407</v>
      </c>
      <c r="AA29" s="12"/>
      <c r="AB29" s="23">
        <v>0</v>
      </c>
      <c r="AC29" s="23" t="str">
        <f t="shared" si="3"/>
        <v>Foundation</v>
      </c>
      <c r="AD29" s="12" t="s">
        <v>36</v>
      </c>
    </row>
    <row r="30" ht="51">
      <c r="A30" s="23">
        <v>27</v>
      </c>
      <c r="B30" s="12" t="s">
        <v>408</v>
      </c>
      <c r="C30" s="12" t="s">
        <v>16</v>
      </c>
      <c r="D30" s="12" t="s">
        <v>409</v>
      </c>
      <c r="E30" s="12" t="s">
        <v>410</v>
      </c>
      <c r="F30" s="12" t="s">
        <v>411</v>
      </c>
      <c r="G30" s="12" t="s">
        <v>412</v>
      </c>
      <c r="H30" s="12" t="s">
        <v>121</v>
      </c>
      <c r="I30" s="12" t="s">
        <v>413</v>
      </c>
      <c r="J30" s="12" t="s">
        <v>414</v>
      </c>
      <c r="K30" s="23" t="s">
        <v>173</v>
      </c>
      <c r="L30" s="23" t="s">
        <v>225</v>
      </c>
      <c r="M30" s="23">
        <v>5</v>
      </c>
      <c r="N30" s="23" t="s">
        <v>415</v>
      </c>
      <c r="O30" s="23" t="s">
        <v>126</v>
      </c>
      <c r="P30" s="23">
        <v>2</v>
      </c>
      <c r="Q30" s="23">
        <v>0</v>
      </c>
      <c r="R30" s="24">
        <f t="shared" si="2"/>
        <v>0</v>
      </c>
      <c r="S30" s="25"/>
      <c r="T30" s="23" t="s">
        <v>127</v>
      </c>
      <c r="U30" s="12" t="s">
        <v>416</v>
      </c>
      <c r="V30" s="12" t="s">
        <v>417</v>
      </c>
      <c r="W30" s="12" t="s">
        <v>418</v>
      </c>
      <c r="X30" s="12" t="s">
        <v>131</v>
      </c>
      <c r="Y30" s="12" t="s">
        <v>132</v>
      </c>
      <c r="Z30" s="12" t="s">
        <v>419</v>
      </c>
      <c r="AA30" s="12"/>
      <c r="AB30" s="23">
        <v>0</v>
      </c>
      <c r="AC30" s="23" t="str">
        <f t="shared" si="3"/>
        <v>Foundation</v>
      </c>
      <c r="AD30" s="12" t="s">
        <v>41</v>
      </c>
    </row>
    <row r="31" ht="51">
      <c r="A31" s="23">
        <v>28</v>
      </c>
      <c r="B31" s="12" t="s">
        <v>420</v>
      </c>
      <c r="C31" s="12" t="s">
        <v>16</v>
      </c>
      <c r="D31" s="12" t="s">
        <v>421</v>
      </c>
      <c r="E31" s="12" t="s">
        <v>422</v>
      </c>
      <c r="F31" s="12" t="s">
        <v>423</v>
      </c>
      <c r="G31" s="12" t="s">
        <v>424</v>
      </c>
      <c r="H31" s="12" t="s">
        <v>121</v>
      </c>
      <c r="I31" s="12" t="s">
        <v>425</v>
      </c>
      <c r="J31" s="12" t="s">
        <v>426</v>
      </c>
      <c r="K31" s="23" t="s">
        <v>173</v>
      </c>
      <c r="L31" s="23" t="s">
        <v>151</v>
      </c>
      <c r="M31" s="23">
        <v>5</v>
      </c>
      <c r="N31" s="23" t="s">
        <v>408</v>
      </c>
      <c r="O31" s="23" t="s">
        <v>126</v>
      </c>
      <c r="P31" s="23">
        <v>2</v>
      </c>
      <c r="Q31" s="23">
        <v>0</v>
      </c>
      <c r="R31" s="24">
        <f t="shared" si="2"/>
        <v>0</v>
      </c>
      <c r="S31" s="25"/>
      <c r="T31" s="23" t="s">
        <v>127</v>
      </c>
      <c r="U31" s="12" t="s">
        <v>427</v>
      </c>
      <c r="V31" s="12" t="s">
        <v>428</v>
      </c>
      <c r="W31" s="12" t="s">
        <v>429</v>
      </c>
      <c r="X31" s="12" t="s">
        <v>131</v>
      </c>
      <c r="Y31" s="12" t="s">
        <v>132</v>
      </c>
      <c r="Z31" s="12" t="s">
        <v>430</v>
      </c>
      <c r="AA31" s="12"/>
      <c r="AB31" s="23">
        <v>0</v>
      </c>
      <c r="AC31" s="23" t="str">
        <f t="shared" si="3"/>
        <v>Foundation</v>
      </c>
      <c r="AD31" s="12" t="s">
        <v>36</v>
      </c>
    </row>
    <row r="32" ht="51">
      <c r="A32" s="23">
        <v>29</v>
      </c>
      <c r="B32" s="12" t="s">
        <v>431</v>
      </c>
      <c r="C32" s="12" t="s">
        <v>16</v>
      </c>
      <c r="D32" s="12" t="s">
        <v>432</v>
      </c>
      <c r="E32" s="12" t="s">
        <v>433</v>
      </c>
      <c r="F32" s="12" t="s">
        <v>434</v>
      </c>
      <c r="G32" s="12" t="s">
        <v>435</v>
      </c>
      <c r="H32" s="12" t="s">
        <v>121</v>
      </c>
      <c r="I32" s="12" t="s">
        <v>436</v>
      </c>
      <c r="J32" s="12" t="s">
        <v>437</v>
      </c>
      <c r="K32" s="23" t="s">
        <v>124</v>
      </c>
      <c r="L32" s="23" t="s">
        <v>225</v>
      </c>
      <c r="M32" s="23">
        <v>5</v>
      </c>
      <c r="N32" s="23" t="s">
        <v>438</v>
      </c>
      <c r="O32" s="23" t="s">
        <v>126</v>
      </c>
      <c r="P32" s="23">
        <v>2</v>
      </c>
      <c r="Q32" s="23">
        <v>0</v>
      </c>
      <c r="R32" s="24">
        <f t="shared" si="2"/>
        <v>0</v>
      </c>
      <c r="S32" s="25"/>
      <c r="T32" s="23" t="s">
        <v>127</v>
      </c>
      <c r="U32" s="12" t="s">
        <v>439</v>
      </c>
      <c r="V32" s="12" t="s">
        <v>440</v>
      </c>
      <c r="W32" s="12" t="s">
        <v>441</v>
      </c>
      <c r="X32" s="12" t="s">
        <v>131</v>
      </c>
      <c r="Y32" s="12" t="s">
        <v>132</v>
      </c>
      <c r="Z32" s="12" t="s">
        <v>442</v>
      </c>
      <c r="AA32" s="12"/>
      <c r="AB32" s="23">
        <v>0</v>
      </c>
      <c r="AC32" s="23" t="str">
        <f t="shared" si="3"/>
        <v>Foundation</v>
      </c>
      <c r="AD32" s="12" t="s">
        <v>36</v>
      </c>
    </row>
    <row r="33" ht="51">
      <c r="A33" s="23">
        <v>30</v>
      </c>
      <c r="B33" s="12" t="s">
        <v>443</v>
      </c>
      <c r="C33" s="12" t="s">
        <v>16</v>
      </c>
      <c r="D33" s="12" t="s">
        <v>444</v>
      </c>
      <c r="E33" s="12" t="s">
        <v>445</v>
      </c>
      <c r="F33" s="12" t="s">
        <v>446</v>
      </c>
      <c r="G33" s="12" t="s">
        <v>447</v>
      </c>
      <c r="H33" s="12" t="s">
        <v>448</v>
      </c>
      <c r="I33" s="12" t="s">
        <v>449</v>
      </c>
      <c r="J33" s="12" t="s">
        <v>450</v>
      </c>
      <c r="K33" s="23" t="s">
        <v>451</v>
      </c>
      <c r="L33" s="23" t="s">
        <v>225</v>
      </c>
      <c r="M33" s="23">
        <v>4</v>
      </c>
      <c r="N33" s="23" t="s">
        <v>452</v>
      </c>
      <c r="O33" s="23" t="s">
        <v>126</v>
      </c>
      <c r="P33" s="23">
        <v>2</v>
      </c>
      <c r="Q33" s="23">
        <v>0</v>
      </c>
      <c r="R33" s="24">
        <f t="shared" si="2"/>
        <v>0</v>
      </c>
      <c r="S33" s="25"/>
      <c r="T33" s="23" t="s">
        <v>127</v>
      </c>
      <c r="U33" s="12" t="s">
        <v>453</v>
      </c>
      <c r="V33" s="12" t="s">
        <v>454</v>
      </c>
      <c r="W33" s="12" t="s">
        <v>455</v>
      </c>
      <c r="X33" s="12" t="s">
        <v>131</v>
      </c>
      <c r="Y33" s="12" t="s">
        <v>132</v>
      </c>
      <c r="Z33" s="12" t="s">
        <v>456</v>
      </c>
      <c r="AA33" s="12"/>
      <c r="AB33" s="23">
        <v>0</v>
      </c>
      <c r="AC33" s="23" t="str">
        <f t="shared" si="3"/>
        <v>Foundation</v>
      </c>
      <c r="AD33" s="12" t="s">
        <v>265</v>
      </c>
    </row>
    <row r="34" ht="51">
      <c r="A34" s="23">
        <v>31</v>
      </c>
      <c r="B34" s="12" t="s">
        <v>457</v>
      </c>
      <c r="C34" s="12" t="s">
        <v>16</v>
      </c>
      <c r="D34" s="12" t="s">
        <v>458</v>
      </c>
      <c r="E34" s="12" t="s">
        <v>459</v>
      </c>
      <c r="F34" s="12" t="s">
        <v>460</v>
      </c>
      <c r="G34" s="12" t="s">
        <v>461</v>
      </c>
      <c r="H34" s="12" t="s">
        <v>121</v>
      </c>
      <c r="I34" s="12" t="s">
        <v>462</v>
      </c>
      <c r="J34" s="12" t="s">
        <v>463</v>
      </c>
      <c r="K34" s="23" t="s">
        <v>173</v>
      </c>
      <c r="L34" s="23" t="s">
        <v>225</v>
      </c>
      <c r="M34" s="23">
        <v>5</v>
      </c>
      <c r="N34" s="23" t="s">
        <v>464</v>
      </c>
      <c r="O34" s="23" t="s">
        <v>126</v>
      </c>
      <c r="P34" s="23">
        <v>2</v>
      </c>
      <c r="Q34" s="23">
        <v>0</v>
      </c>
      <c r="R34" s="24">
        <f t="shared" si="2"/>
        <v>0</v>
      </c>
      <c r="S34" s="25"/>
      <c r="T34" s="23" t="s">
        <v>127</v>
      </c>
      <c r="U34" s="12" t="s">
        <v>465</v>
      </c>
      <c r="V34" s="12" t="s">
        <v>466</v>
      </c>
      <c r="W34" s="12" t="s">
        <v>467</v>
      </c>
      <c r="X34" s="12" t="s">
        <v>131</v>
      </c>
      <c r="Y34" s="12" t="s">
        <v>132</v>
      </c>
      <c r="Z34" s="12" t="s">
        <v>468</v>
      </c>
      <c r="AA34" s="12"/>
      <c r="AB34" s="23">
        <v>0</v>
      </c>
      <c r="AC34" s="23" t="str">
        <f t="shared" si="3"/>
        <v>Foundation</v>
      </c>
      <c r="AD34" s="12" t="s">
        <v>265</v>
      </c>
    </row>
    <row r="35" ht="51">
      <c r="A35" s="23">
        <v>32</v>
      </c>
      <c r="B35" s="12" t="s">
        <v>469</v>
      </c>
      <c r="C35" s="12" t="s">
        <v>17</v>
      </c>
      <c r="D35" s="12" t="s">
        <v>470</v>
      </c>
      <c r="E35" s="12" t="s">
        <v>471</v>
      </c>
      <c r="F35" s="12" t="s">
        <v>472</v>
      </c>
      <c r="G35" s="12" t="s">
        <v>473</v>
      </c>
      <c r="H35" s="12" t="s">
        <v>121</v>
      </c>
      <c r="I35" s="12" t="s">
        <v>474</v>
      </c>
      <c r="J35" s="12" t="s">
        <v>123</v>
      </c>
      <c r="K35" s="23" t="s">
        <v>124</v>
      </c>
      <c r="L35" s="23" t="s">
        <v>151</v>
      </c>
      <c r="M35" s="23">
        <v>5</v>
      </c>
      <c r="N35" s="23" t="s">
        <v>156</v>
      </c>
      <c r="O35" s="23" t="s">
        <v>126</v>
      </c>
      <c r="P35" s="23">
        <v>2</v>
      </c>
      <c r="Q35" s="23">
        <v>0</v>
      </c>
      <c r="R35" s="24">
        <f t="shared" si="2"/>
        <v>0</v>
      </c>
      <c r="S35" s="25"/>
      <c r="T35" s="23" t="s">
        <v>127</v>
      </c>
      <c r="U35" s="12" t="s">
        <v>475</v>
      </c>
      <c r="V35" s="12" t="s">
        <v>476</v>
      </c>
      <c r="W35" s="12" t="s">
        <v>477</v>
      </c>
      <c r="X35" s="12" t="s">
        <v>131</v>
      </c>
      <c r="Y35" s="12" t="s">
        <v>132</v>
      </c>
      <c r="Z35" s="12" t="s">
        <v>478</v>
      </c>
      <c r="AA35" s="12"/>
      <c r="AB35" s="23">
        <v>0</v>
      </c>
      <c r="AC35" s="23" t="str">
        <f t="shared" si="3"/>
        <v>Foundation</v>
      </c>
      <c r="AD35" s="12" t="s">
        <v>36</v>
      </c>
    </row>
    <row r="36" ht="51">
      <c r="A36" s="23">
        <v>33</v>
      </c>
      <c r="B36" s="12" t="s">
        <v>479</v>
      </c>
      <c r="C36" s="12" t="s">
        <v>17</v>
      </c>
      <c r="D36" s="12" t="s">
        <v>480</v>
      </c>
      <c r="E36" s="12" t="s">
        <v>481</v>
      </c>
      <c r="F36" s="12" t="s">
        <v>482</v>
      </c>
      <c r="G36" s="12" t="s">
        <v>483</v>
      </c>
      <c r="H36" s="12" t="s">
        <v>121</v>
      </c>
      <c r="I36" s="12" t="s">
        <v>484</v>
      </c>
      <c r="J36" s="12" t="s">
        <v>485</v>
      </c>
      <c r="K36" s="23" t="s">
        <v>124</v>
      </c>
      <c r="L36" s="23" t="s">
        <v>225</v>
      </c>
      <c r="M36" s="23">
        <v>6</v>
      </c>
      <c r="N36" s="23" t="s">
        <v>486</v>
      </c>
      <c r="O36" s="23" t="s">
        <v>126</v>
      </c>
      <c r="P36" s="23">
        <v>2</v>
      </c>
      <c r="Q36" s="23">
        <v>0</v>
      </c>
      <c r="R36" s="24">
        <f t="shared" si="2"/>
        <v>0</v>
      </c>
      <c r="S36" s="25"/>
      <c r="T36" s="23" t="s">
        <v>127</v>
      </c>
      <c r="U36" s="12" t="s">
        <v>487</v>
      </c>
      <c r="V36" s="12" t="s">
        <v>488</v>
      </c>
      <c r="W36" s="12" t="s">
        <v>489</v>
      </c>
      <c r="X36" s="12" t="s">
        <v>131</v>
      </c>
      <c r="Y36" s="12" t="s">
        <v>132</v>
      </c>
      <c r="Z36" s="12" t="s">
        <v>490</v>
      </c>
      <c r="AA36" s="12"/>
      <c r="AB36" s="23">
        <v>0</v>
      </c>
      <c r="AC36" s="23" t="str">
        <f t="shared" si="3"/>
        <v>Foundation</v>
      </c>
      <c r="AD36" s="12" t="s">
        <v>41</v>
      </c>
    </row>
    <row r="37" ht="51">
      <c r="A37" s="23">
        <v>34</v>
      </c>
      <c r="B37" s="12" t="s">
        <v>491</v>
      </c>
      <c r="C37" s="12" t="s">
        <v>17</v>
      </c>
      <c r="D37" s="12" t="s">
        <v>492</v>
      </c>
      <c r="E37" s="12" t="s">
        <v>493</v>
      </c>
      <c r="F37" s="12" t="s">
        <v>494</v>
      </c>
      <c r="G37" s="12" t="s">
        <v>495</v>
      </c>
      <c r="H37" s="12" t="s">
        <v>121</v>
      </c>
      <c r="I37" s="12" t="s">
        <v>496</v>
      </c>
      <c r="J37" s="12" t="s">
        <v>497</v>
      </c>
      <c r="K37" s="23" t="s">
        <v>124</v>
      </c>
      <c r="L37" s="23" t="s">
        <v>225</v>
      </c>
      <c r="M37" s="23">
        <v>5</v>
      </c>
      <c r="N37" s="23" t="s">
        <v>486</v>
      </c>
      <c r="O37" s="23" t="s">
        <v>126</v>
      </c>
      <c r="P37" s="23">
        <v>2</v>
      </c>
      <c r="Q37" s="23">
        <v>0</v>
      </c>
      <c r="R37" s="24">
        <f t="shared" si="2"/>
        <v>0</v>
      </c>
      <c r="S37" s="25"/>
      <c r="T37" s="23" t="s">
        <v>127</v>
      </c>
      <c r="U37" s="12" t="s">
        <v>498</v>
      </c>
      <c r="V37" s="12" t="s">
        <v>499</v>
      </c>
      <c r="W37" s="12" t="s">
        <v>500</v>
      </c>
      <c r="X37" s="12" t="s">
        <v>131</v>
      </c>
      <c r="Y37" s="12" t="s">
        <v>132</v>
      </c>
      <c r="Z37" s="12" t="s">
        <v>501</v>
      </c>
      <c r="AA37" s="12"/>
      <c r="AB37" s="23">
        <v>0</v>
      </c>
      <c r="AC37" s="23" t="str">
        <f t="shared" si="3"/>
        <v>Foundation</v>
      </c>
      <c r="AD37" s="12" t="s">
        <v>41</v>
      </c>
    </row>
    <row r="38" ht="38.25">
      <c r="A38" s="23">
        <v>35</v>
      </c>
      <c r="B38" s="12" t="s">
        <v>502</v>
      </c>
      <c r="C38" s="12" t="s">
        <v>17</v>
      </c>
      <c r="D38" s="12" t="s">
        <v>503</v>
      </c>
      <c r="E38" s="12" t="s">
        <v>504</v>
      </c>
      <c r="F38" s="12" t="s">
        <v>505</v>
      </c>
      <c r="G38" s="12" t="s">
        <v>506</v>
      </c>
      <c r="H38" s="12" t="s">
        <v>121</v>
      </c>
      <c r="I38" s="12" t="s">
        <v>507</v>
      </c>
      <c r="J38" s="12" t="s">
        <v>508</v>
      </c>
      <c r="K38" s="23" t="s">
        <v>173</v>
      </c>
      <c r="L38" s="23" t="s">
        <v>151</v>
      </c>
      <c r="M38" s="23">
        <v>4</v>
      </c>
      <c r="N38" s="23" t="s">
        <v>266</v>
      </c>
      <c r="O38" s="23" t="s">
        <v>126</v>
      </c>
      <c r="P38" s="23">
        <v>2</v>
      </c>
      <c r="Q38" s="23">
        <v>0</v>
      </c>
      <c r="R38" s="24">
        <f t="shared" si="2"/>
        <v>0</v>
      </c>
      <c r="S38" s="25"/>
      <c r="T38" s="23" t="s">
        <v>127</v>
      </c>
      <c r="U38" s="12" t="s">
        <v>509</v>
      </c>
      <c r="V38" s="12" t="s">
        <v>510</v>
      </c>
      <c r="W38" s="12" t="s">
        <v>511</v>
      </c>
      <c r="X38" s="12" t="s">
        <v>131</v>
      </c>
      <c r="Y38" s="12" t="s">
        <v>132</v>
      </c>
      <c r="Z38" s="12" t="s">
        <v>512</v>
      </c>
      <c r="AA38" s="12"/>
      <c r="AB38" s="23">
        <v>0</v>
      </c>
      <c r="AC38" s="23" t="str">
        <f t="shared" si="3"/>
        <v>Foundation</v>
      </c>
      <c r="AD38" s="12" t="s">
        <v>36</v>
      </c>
    </row>
    <row r="39" ht="51">
      <c r="A39" s="23">
        <v>36</v>
      </c>
      <c r="B39" s="12" t="s">
        <v>513</v>
      </c>
      <c r="C39" s="12" t="s">
        <v>17</v>
      </c>
      <c r="D39" s="12" t="s">
        <v>514</v>
      </c>
      <c r="E39" s="12" t="s">
        <v>515</v>
      </c>
      <c r="F39" s="12" t="s">
        <v>516</v>
      </c>
      <c r="G39" s="12" t="s">
        <v>517</v>
      </c>
      <c r="H39" s="12" t="s">
        <v>121</v>
      </c>
      <c r="I39" s="12" t="s">
        <v>518</v>
      </c>
      <c r="J39" s="12" t="s">
        <v>519</v>
      </c>
      <c r="K39" s="23" t="s">
        <v>124</v>
      </c>
      <c r="L39" s="23" t="s">
        <v>225</v>
      </c>
      <c r="M39" s="23">
        <v>6</v>
      </c>
      <c r="N39" s="23" t="s">
        <v>520</v>
      </c>
      <c r="O39" s="23" t="s">
        <v>126</v>
      </c>
      <c r="P39" s="23">
        <v>2</v>
      </c>
      <c r="Q39" s="23">
        <v>0</v>
      </c>
      <c r="R39" s="24">
        <f t="shared" si="2"/>
        <v>0</v>
      </c>
      <c r="S39" s="25"/>
      <c r="T39" s="23" t="s">
        <v>127</v>
      </c>
      <c r="U39" s="12" t="s">
        <v>521</v>
      </c>
      <c r="V39" s="12" t="s">
        <v>522</v>
      </c>
      <c r="W39" s="12" t="s">
        <v>523</v>
      </c>
      <c r="X39" s="12" t="s">
        <v>131</v>
      </c>
      <c r="Y39" s="12" t="s">
        <v>132</v>
      </c>
      <c r="Z39" s="12" t="s">
        <v>524</v>
      </c>
      <c r="AA39" s="12"/>
      <c r="AB39" s="23">
        <v>0</v>
      </c>
      <c r="AC39" s="23" t="str">
        <f t="shared" si="3"/>
        <v>Foundation</v>
      </c>
      <c r="AD39" s="12" t="s">
        <v>265</v>
      </c>
    </row>
    <row r="40" ht="51">
      <c r="A40" s="23">
        <v>37</v>
      </c>
      <c r="B40" s="12" t="s">
        <v>525</v>
      </c>
      <c r="C40" s="12" t="s">
        <v>17</v>
      </c>
      <c r="D40" s="12" t="s">
        <v>526</v>
      </c>
      <c r="E40" s="12" t="s">
        <v>527</v>
      </c>
      <c r="F40" s="12" t="s">
        <v>528</v>
      </c>
      <c r="G40" s="12" t="s">
        <v>312</v>
      </c>
      <c r="H40" s="12" t="s">
        <v>121</v>
      </c>
      <c r="I40" s="12" t="s">
        <v>529</v>
      </c>
      <c r="J40" s="12" t="s">
        <v>530</v>
      </c>
      <c r="K40" s="23" t="s">
        <v>173</v>
      </c>
      <c r="L40" s="23" t="s">
        <v>225</v>
      </c>
      <c r="M40" s="23">
        <v>6</v>
      </c>
      <c r="N40" s="23" t="s">
        <v>531</v>
      </c>
      <c r="O40" s="23" t="s">
        <v>126</v>
      </c>
      <c r="P40" s="23">
        <v>2</v>
      </c>
      <c r="Q40" s="23">
        <v>0</v>
      </c>
      <c r="R40" s="24">
        <f t="shared" si="2"/>
        <v>0</v>
      </c>
      <c r="S40" s="25"/>
      <c r="T40" s="23" t="s">
        <v>127</v>
      </c>
      <c r="U40" s="12" t="s">
        <v>532</v>
      </c>
      <c r="V40" s="12" t="s">
        <v>533</v>
      </c>
      <c r="W40" s="12" t="s">
        <v>534</v>
      </c>
      <c r="X40" s="12" t="s">
        <v>131</v>
      </c>
      <c r="Y40" s="12" t="s">
        <v>132</v>
      </c>
      <c r="Z40" s="12" t="s">
        <v>535</v>
      </c>
      <c r="AA40" s="12"/>
      <c r="AB40" s="23">
        <v>0</v>
      </c>
      <c r="AC40" s="23" t="str">
        <f t="shared" si="3"/>
        <v>Foundation</v>
      </c>
      <c r="AD40" s="12" t="s">
        <v>41</v>
      </c>
    </row>
    <row r="41" ht="51">
      <c r="A41" s="23">
        <v>38</v>
      </c>
      <c r="B41" s="12" t="s">
        <v>536</v>
      </c>
      <c r="C41" s="12" t="s">
        <v>18</v>
      </c>
      <c r="D41" s="12" t="s">
        <v>537</v>
      </c>
      <c r="E41" s="12" t="s">
        <v>538</v>
      </c>
      <c r="F41" s="12" t="s">
        <v>539</v>
      </c>
      <c r="G41" s="12" t="s">
        <v>540</v>
      </c>
      <c r="H41" s="12" t="s">
        <v>121</v>
      </c>
      <c r="I41" s="12" t="s">
        <v>541</v>
      </c>
      <c r="J41" s="12" t="s">
        <v>542</v>
      </c>
      <c r="K41" s="23" t="s">
        <v>124</v>
      </c>
      <c r="L41" s="23" t="s">
        <v>151</v>
      </c>
      <c r="M41" s="23">
        <v>5</v>
      </c>
      <c r="N41" s="23" t="s">
        <v>543</v>
      </c>
      <c r="O41" s="23" t="s">
        <v>126</v>
      </c>
      <c r="P41" s="23">
        <v>2</v>
      </c>
      <c r="Q41" s="23">
        <v>0</v>
      </c>
      <c r="R41" s="24">
        <f t="shared" si="2"/>
        <v>0</v>
      </c>
      <c r="S41" s="25"/>
      <c r="T41" s="23" t="s">
        <v>127</v>
      </c>
      <c r="U41" s="12" t="s">
        <v>544</v>
      </c>
      <c r="V41" s="12" t="s">
        <v>545</v>
      </c>
      <c r="W41" s="12" t="s">
        <v>546</v>
      </c>
      <c r="X41" s="12" t="s">
        <v>131</v>
      </c>
      <c r="Y41" s="12" t="s">
        <v>132</v>
      </c>
      <c r="Z41" s="12" t="s">
        <v>547</v>
      </c>
      <c r="AA41" s="12"/>
      <c r="AB41" s="23">
        <v>0</v>
      </c>
      <c r="AC41" s="23" t="str">
        <f t="shared" si="3"/>
        <v>Foundation</v>
      </c>
      <c r="AD41" s="12" t="s">
        <v>36</v>
      </c>
    </row>
    <row r="42" ht="51">
      <c r="A42" s="23">
        <v>39</v>
      </c>
      <c r="B42" s="12" t="s">
        <v>548</v>
      </c>
      <c r="C42" s="12" t="s">
        <v>18</v>
      </c>
      <c r="D42" s="12" t="s">
        <v>549</v>
      </c>
      <c r="E42" s="12" t="s">
        <v>550</v>
      </c>
      <c r="F42" s="12" t="s">
        <v>551</v>
      </c>
      <c r="G42" s="12" t="s">
        <v>552</v>
      </c>
      <c r="H42" s="12" t="s">
        <v>121</v>
      </c>
      <c r="I42" s="12" t="s">
        <v>553</v>
      </c>
      <c r="J42" s="12" t="s">
        <v>554</v>
      </c>
      <c r="K42" s="23" t="s">
        <v>124</v>
      </c>
      <c r="L42" s="23" t="s">
        <v>225</v>
      </c>
      <c r="M42" s="23">
        <v>6</v>
      </c>
      <c r="N42" s="23" t="s">
        <v>536</v>
      </c>
      <c r="O42" s="23" t="s">
        <v>126</v>
      </c>
      <c r="P42" s="23">
        <v>2</v>
      </c>
      <c r="Q42" s="23">
        <v>0</v>
      </c>
      <c r="R42" s="24">
        <f t="shared" si="2"/>
        <v>0</v>
      </c>
      <c r="S42" s="25"/>
      <c r="T42" s="23" t="s">
        <v>127</v>
      </c>
      <c r="U42" s="12" t="s">
        <v>555</v>
      </c>
      <c r="V42" s="12" t="s">
        <v>556</v>
      </c>
      <c r="W42" s="12" t="s">
        <v>557</v>
      </c>
      <c r="X42" s="12" t="s">
        <v>131</v>
      </c>
      <c r="Y42" s="12" t="s">
        <v>132</v>
      </c>
      <c r="Z42" s="12" t="s">
        <v>558</v>
      </c>
      <c r="AA42" s="12"/>
      <c r="AB42" s="23">
        <v>0</v>
      </c>
      <c r="AC42" s="23" t="str">
        <f t="shared" si="3"/>
        <v>Foundation</v>
      </c>
      <c r="AD42" s="12" t="s">
        <v>41</v>
      </c>
    </row>
    <row r="43" ht="51">
      <c r="A43" s="23">
        <v>40</v>
      </c>
      <c r="B43" s="12" t="s">
        <v>559</v>
      </c>
      <c r="C43" s="12" t="s">
        <v>18</v>
      </c>
      <c r="D43" s="12" t="s">
        <v>560</v>
      </c>
      <c r="E43" s="12" t="s">
        <v>561</v>
      </c>
      <c r="F43" s="12" t="s">
        <v>562</v>
      </c>
      <c r="G43" s="12" t="s">
        <v>563</v>
      </c>
      <c r="H43" s="12" t="s">
        <v>121</v>
      </c>
      <c r="I43" s="12" t="s">
        <v>564</v>
      </c>
      <c r="J43" s="12" t="s">
        <v>565</v>
      </c>
      <c r="K43" s="23" t="s">
        <v>173</v>
      </c>
      <c r="L43" s="23" t="s">
        <v>225</v>
      </c>
      <c r="M43" s="23">
        <v>7</v>
      </c>
      <c r="N43" s="23" t="s">
        <v>566</v>
      </c>
      <c r="O43" s="23" t="s">
        <v>126</v>
      </c>
      <c r="P43" s="23">
        <v>2</v>
      </c>
      <c r="Q43" s="23">
        <v>0</v>
      </c>
      <c r="R43" s="24">
        <f t="shared" si="2"/>
        <v>0</v>
      </c>
      <c r="S43" s="25"/>
      <c r="T43" s="23" t="s">
        <v>127</v>
      </c>
      <c r="U43" s="12" t="s">
        <v>567</v>
      </c>
      <c r="V43" s="12" t="s">
        <v>568</v>
      </c>
      <c r="W43" s="12" t="s">
        <v>569</v>
      </c>
      <c r="X43" s="12" t="s">
        <v>131</v>
      </c>
      <c r="Y43" s="12" t="s">
        <v>132</v>
      </c>
      <c r="Z43" s="12" t="s">
        <v>570</v>
      </c>
      <c r="AA43" s="12"/>
      <c r="AB43" s="23">
        <v>0</v>
      </c>
      <c r="AC43" s="23" t="str">
        <f t="shared" si="3"/>
        <v>Foundation</v>
      </c>
      <c r="AD43" s="12" t="s">
        <v>241</v>
      </c>
    </row>
    <row r="44" ht="51">
      <c r="A44" s="23">
        <v>41</v>
      </c>
      <c r="B44" s="12" t="s">
        <v>571</v>
      </c>
      <c r="C44" s="12" t="s">
        <v>18</v>
      </c>
      <c r="D44" s="12" t="s">
        <v>572</v>
      </c>
      <c r="E44" s="12" t="s">
        <v>573</v>
      </c>
      <c r="F44" s="12" t="s">
        <v>574</v>
      </c>
      <c r="G44" s="12" t="s">
        <v>575</v>
      </c>
      <c r="H44" s="12" t="s">
        <v>121</v>
      </c>
      <c r="I44" s="12" t="s">
        <v>576</v>
      </c>
      <c r="J44" s="12" t="s">
        <v>577</v>
      </c>
      <c r="K44" s="23" t="s">
        <v>173</v>
      </c>
      <c r="L44" s="23" t="s">
        <v>151</v>
      </c>
      <c r="M44" s="23">
        <v>6</v>
      </c>
      <c r="N44" s="23" t="s">
        <v>578</v>
      </c>
      <c r="O44" s="23" t="s">
        <v>126</v>
      </c>
      <c r="P44" s="23">
        <v>2</v>
      </c>
      <c r="Q44" s="23">
        <v>0</v>
      </c>
      <c r="R44" s="24">
        <f t="shared" si="2"/>
        <v>0</v>
      </c>
      <c r="S44" s="25"/>
      <c r="T44" s="23" t="s">
        <v>127</v>
      </c>
      <c r="U44" s="12" t="s">
        <v>579</v>
      </c>
      <c r="V44" s="12" t="s">
        <v>580</v>
      </c>
      <c r="W44" s="12" t="s">
        <v>581</v>
      </c>
      <c r="X44" s="12" t="s">
        <v>131</v>
      </c>
      <c r="Y44" s="12" t="s">
        <v>132</v>
      </c>
      <c r="Z44" s="12" t="s">
        <v>582</v>
      </c>
      <c r="AA44" s="12"/>
      <c r="AB44" s="23">
        <v>0</v>
      </c>
      <c r="AC44" s="23" t="str">
        <f t="shared" si="3"/>
        <v>Foundation</v>
      </c>
      <c r="AD44" s="12" t="s">
        <v>36</v>
      </c>
    </row>
    <row r="45" ht="51">
      <c r="A45" s="23">
        <v>42</v>
      </c>
      <c r="B45" s="12" t="s">
        <v>583</v>
      </c>
      <c r="C45" s="12" t="s">
        <v>18</v>
      </c>
      <c r="D45" s="12" t="s">
        <v>584</v>
      </c>
      <c r="E45" s="12" t="s">
        <v>585</v>
      </c>
      <c r="F45" s="12" t="s">
        <v>586</v>
      </c>
      <c r="G45" s="12" t="s">
        <v>587</v>
      </c>
      <c r="H45" s="12" t="s">
        <v>588</v>
      </c>
      <c r="I45" s="12" t="s">
        <v>589</v>
      </c>
      <c r="J45" s="12" t="s">
        <v>590</v>
      </c>
      <c r="K45" s="23" t="s">
        <v>451</v>
      </c>
      <c r="L45" s="23" t="s">
        <v>225</v>
      </c>
      <c r="M45" s="23">
        <v>7</v>
      </c>
      <c r="N45" s="23" t="s">
        <v>591</v>
      </c>
      <c r="O45" s="23" t="s">
        <v>126</v>
      </c>
      <c r="P45" s="23">
        <v>2</v>
      </c>
      <c r="Q45" s="23">
        <v>0</v>
      </c>
      <c r="R45" s="24">
        <f t="shared" si="2"/>
        <v>0</v>
      </c>
      <c r="S45" s="25"/>
      <c r="T45" s="23" t="s">
        <v>127</v>
      </c>
      <c r="U45" s="12" t="s">
        <v>592</v>
      </c>
      <c r="V45" s="12" t="s">
        <v>593</v>
      </c>
      <c r="W45" s="12" t="s">
        <v>594</v>
      </c>
      <c r="X45" s="12" t="s">
        <v>131</v>
      </c>
      <c r="Y45" s="12" t="s">
        <v>132</v>
      </c>
      <c r="Z45" s="12" t="s">
        <v>595</v>
      </c>
      <c r="AA45" s="12"/>
      <c r="AB45" s="23">
        <v>0</v>
      </c>
      <c r="AC45" s="23" t="str">
        <f t="shared" si="3"/>
        <v>Foundation</v>
      </c>
      <c r="AD45" s="12" t="s">
        <v>265</v>
      </c>
    </row>
    <row r="46" ht="51">
      <c r="A46" s="23">
        <v>43</v>
      </c>
      <c r="B46" s="12" t="s">
        <v>596</v>
      </c>
      <c r="C46" s="12" t="s">
        <v>18</v>
      </c>
      <c r="D46" s="12" t="s">
        <v>597</v>
      </c>
      <c r="E46" s="12" t="s">
        <v>598</v>
      </c>
      <c r="F46" s="12" t="s">
        <v>599</v>
      </c>
      <c r="G46" s="12" t="s">
        <v>600</v>
      </c>
      <c r="H46" s="12" t="s">
        <v>588</v>
      </c>
      <c r="I46" s="12" t="s">
        <v>601</v>
      </c>
      <c r="J46" s="12" t="s">
        <v>602</v>
      </c>
      <c r="K46" s="23" t="s">
        <v>451</v>
      </c>
      <c r="L46" s="23" t="s">
        <v>225</v>
      </c>
      <c r="M46" s="23">
        <v>7</v>
      </c>
      <c r="N46" s="23" t="s">
        <v>603</v>
      </c>
      <c r="O46" s="23" t="s">
        <v>126</v>
      </c>
      <c r="P46" s="23">
        <v>2</v>
      </c>
      <c r="Q46" s="23">
        <v>0</v>
      </c>
      <c r="R46" s="24">
        <f t="shared" si="2"/>
        <v>0</v>
      </c>
      <c r="S46" s="25"/>
      <c r="T46" s="23" t="s">
        <v>127</v>
      </c>
      <c r="U46" s="12" t="s">
        <v>604</v>
      </c>
      <c r="V46" s="12" t="s">
        <v>605</v>
      </c>
      <c r="W46" s="12" t="s">
        <v>606</v>
      </c>
      <c r="X46" s="12" t="s">
        <v>131</v>
      </c>
      <c r="Y46" s="12" t="s">
        <v>132</v>
      </c>
      <c r="Z46" s="12" t="s">
        <v>607</v>
      </c>
      <c r="AA46" s="12"/>
      <c r="AB46" s="23">
        <v>0</v>
      </c>
      <c r="AC46" s="23" t="str">
        <f t="shared" si="3"/>
        <v>Foundation</v>
      </c>
      <c r="AD46" s="12" t="s">
        <v>41</v>
      </c>
    </row>
    <row r="47" ht="51">
      <c r="A47" s="23">
        <v>44</v>
      </c>
      <c r="B47" s="12" t="s">
        <v>608</v>
      </c>
      <c r="C47" s="12" t="s">
        <v>19</v>
      </c>
      <c r="D47" s="12" t="s">
        <v>609</v>
      </c>
      <c r="E47" s="12" t="s">
        <v>610</v>
      </c>
      <c r="F47" s="12" t="s">
        <v>611</v>
      </c>
      <c r="G47" s="12" t="s">
        <v>612</v>
      </c>
      <c r="H47" s="12" t="s">
        <v>121</v>
      </c>
      <c r="I47" s="12" t="s">
        <v>358</v>
      </c>
      <c r="J47" s="12" t="s">
        <v>613</v>
      </c>
      <c r="K47" s="23" t="s">
        <v>173</v>
      </c>
      <c r="L47" s="23" t="s">
        <v>151</v>
      </c>
      <c r="M47" s="23">
        <v>6</v>
      </c>
      <c r="N47" s="23" t="s">
        <v>614</v>
      </c>
      <c r="O47" s="23" t="s">
        <v>126</v>
      </c>
      <c r="P47" s="23">
        <v>2</v>
      </c>
      <c r="Q47" s="23">
        <v>0</v>
      </c>
      <c r="R47" s="24">
        <f t="shared" si="2"/>
        <v>0</v>
      </c>
      <c r="S47" s="25"/>
      <c r="T47" s="23" t="s">
        <v>127</v>
      </c>
      <c r="U47" s="12" t="s">
        <v>615</v>
      </c>
      <c r="V47" s="12" t="s">
        <v>616</v>
      </c>
      <c r="W47" s="12" t="s">
        <v>617</v>
      </c>
      <c r="X47" s="12" t="s">
        <v>131</v>
      </c>
      <c r="Y47" s="12" t="s">
        <v>132</v>
      </c>
      <c r="Z47" s="12" t="s">
        <v>618</v>
      </c>
      <c r="AA47" s="12"/>
      <c r="AB47" s="23">
        <v>0</v>
      </c>
      <c r="AC47" s="23" t="str">
        <f t="shared" si="3"/>
        <v>Foundation</v>
      </c>
      <c r="AD47" s="12" t="s">
        <v>36</v>
      </c>
    </row>
    <row r="48" ht="51">
      <c r="A48" s="23">
        <v>45</v>
      </c>
      <c r="B48" s="12" t="s">
        <v>619</v>
      </c>
      <c r="C48" s="12" t="s">
        <v>19</v>
      </c>
      <c r="D48" s="12" t="s">
        <v>620</v>
      </c>
      <c r="E48" s="12" t="s">
        <v>621</v>
      </c>
      <c r="F48" s="12" t="s">
        <v>622</v>
      </c>
      <c r="G48" s="12" t="s">
        <v>623</v>
      </c>
      <c r="H48" s="12" t="s">
        <v>121</v>
      </c>
      <c r="I48" s="12" t="s">
        <v>624</v>
      </c>
      <c r="J48" s="12" t="s">
        <v>613</v>
      </c>
      <c r="K48" s="23" t="s">
        <v>173</v>
      </c>
      <c r="L48" s="23" t="s">
        <v>225</v>
      </c>
      <c r="M48" s="23">
        <v>5</v>
      </c>
      <c r="N48" s="23" t="s">
        <v>608</v>
      </c>
      <c r="O48" s="23" t="s">
        <v>126</v>
      </c>
      <c r="P48" s="23">
        <v>2</v>
      </c>
      <c r="Q48" s="23">
        <v>0</v>
      </c>
      <c r="R48" s="24">
        <f t="shared" si="2"/>
        <v>0</v>
      </c>
      <c r="S48" s="25"/>
      <c r="T48" s="23" t="s">
        <v>127</v>
      </c>
      <c r="U48" s="12" t="s">
        <v>625</v>
      </c>
      <c r="V48" s="12" t="s">
        <v>626</v>
      </c>
      <c r="W48" s="12" t="s">
        <v>627</v>
      </c>
      <c r="X48" s="12" t="s">
        <v>131</v>
      </c>
      <c r="Y48" s="12" t="s">
        <v>132</v>
      </c>
      <c r="Z48" s="12" t="s">
        <v>628</v>
      </c>
      <c r="AA48" s="12"/>
      <c r="AB48" s="23">
        <v>0</v>
      </c>
      <c r="AC48" s="23" t="str">
        <f t="shared" si="3"/>
        <v>Foundation</v>
      </c>
      <c r="AD48" s="12" t="s">
        <v>41</v>
      </c>
    </row>
    <row r="49" ht="51">
      <c r="A49" s="23">
        <v>46</v>
      </c>
      <c r="B49" s="12" t="s">
        <v>629</v>
      </c>
      <c r="C49" s="12" t="s">
        <v>19</v>
      </c>
      <c r="D49" s="12" t="s">
        <v>630</v>
      </c>
      <c r="E49" s="12" t="s">
        <v>631</v>
      </c>
      <c r="F49" s="12" t="s">
        <v>632</v>
      </c>
      <c r="G49" s="12" t="s">
        <v>633</v>
      </c>
      <c r="H49" s="12" t="s">
        <v>121</v>
      </c>
      <c r="I49" s="12" t="s">
        <v>634</v>
      </c>
      <c r="J49" s="12" t="s">
        <v>613</v>
      </c>
      <c r="K49" s="23" t="s">
        <v>173</v>
      </c>
      <c r="L49" s="23" t="s">
        <v>225</v>
      </c>
      <c r="M49" s="23">
        <v>6</v>
      </c>
      <c r="N49" s="23" t="s">
        <v>635</v>
      </c>
      <c r="O49" s="23" t="s">
        <v>126</v>
      </c>
      <c r="P49" s="23">
        <v>2</v>
      </c>
      <c r="Q49" s="23">
        <v>0</v>
      </c>
      <c r="R49" s="24">
        <f t="shared" si="2"/>
        <v>0</v>
      </c>
      <c r="S49" s="25"/>
      <c r="T49" s="23" t="s">
        <v>127</v>
      </c>
      <c r="U49" s="12" t="s">
        <v>636</v>
      </c>
      <c r="V49" s="12" t="s">
        <v>637</v>
      </c>
      <c r="W49" s="12" t="s">
        <v>638</v>
      </c>
      <c r="X49" s="12" t="s">
        <v>131</v>
      </c>
      <c r="Y49" s="12" t="s">
        <v>132</v>
      </c>
      <c r="Z49" s="12" t="s">
        <v>639</v>
      </c>
      <c r="AA49" s="12"/>
      <c r="AB49" s="23">
        <v>0</v>
      </c>
      <c r="AC49" s="23" t="str">
        <f t="shared" si="3"/>
        <v>Foundation</v>
      </c>
      <c r="AD49" s="12" t="s">
        <v>41</v>
      </c>
    </row>
    <row r="50" ht="51">
      <c r="A50" s="23">
        <v>47</v>
      </c>
      <c r="B50" s="12" t="s">
        <v>640</v>
      </c>
      <c r="C50" s="12" t="s">
        <v>19</v>
      </c>
      <c r="D50" s="12" t="s">
        <v>641</v>
      </c>
      <c r="E50" s="12" t="s">
        <v>642</v>
      </c>
      <c r="F50" s="12" t="s">
        <v>643</v>
      </c>
      <c r="G50" s="12" t="s">
        <v>644</v>
      </c>
      <c r="H50" s="12" t="s">
        <v>121</v>
      </c>
      <c r="I50" s="12" t="s">
        <v>171</v>
      </c>
      <c r="J50" s="12" t="s">
        <v>645</v>
      </c>
      <c r="K50" s="23" t="s">
        <v>451</v>
      </c>
      <c r="L50" s="23" t="s">
        <v>225</v>
      </c>
      <c r="M50" s="23">
        <v>6</v>
      </c>
      <c r="N50" s="23" t="s">
        <v>646</v>
      </c>
      <c r="O50" s="23" t="s">
        <v>126</v>
      </c>
      <c r="P50" s="23">
        <v>2</v>
      </c>
      <c r="Q50" s="23">
        <v>0</v>
      </c>
      <c r="R50" s="24">
        <f t="shared" si="2"/>
        <v>0</v>
      </c>
      <c r="S50" s="25"/>
      <c r="T50" s="23" t="s">
        <v>127</v>
      </c>
      <c r="U50" s="12" t="s">
        <v>647</v>
      </c>
      <c r="V50" s="12" t="s">
        <v>648</v>
      </c>
      <c r="W50" s="12" t="s">
        <v>649</v>
      </c>
      <c r="X50" s="12" t="s">
        <v>131</v>
      </c>
      <c r="Y50" s="12" t="s">
        <v>132</v>
      </c>
      <c r="Z50" s="12" t="s">
        <v>650</v>
      </c>
      <c r="AA50" s="12"/>
      <c r="AB50" s="23">
        <v>0</v>
      </c>
      <c r="AC50" s="23" t="str">
        <f t="shared" si="3"/>
        <v>Foundation</v>
      </c>
      <c r="AD50" s="12" t="s">
        <v>36</v>
      </c>
    </row>
    <row r="51" ht="51">
      <c r="A51" s="23">
        <v>48</v>
      </c>
      <c r="B51" s="12" t="s">
        <v>651</v>
      </c>
      <c r="C51" s="12" t="s">
        <v>19</v>
      </c>
      <c r="D51" s="12" t="s">
        <v>652</v>
      </c>
      <c r="E51" s="12" t="s">
        <v>653</v>
      </c>
      <c r="F51" s="12" t="s">
        <v>654</v>
      </c>
      <c r="G51" s="12" t="s">
        <v>655</v>
      </c>
      <c r="H51" s="12" t="s">
        <v>121</v>
      </c>
      <c r="I51" s="12" t="s">
        <v>656</v>
      </c>
      <c r="J51" s="12" t="s">
        <v>657</v>
      </c>
      <c r="K51" s="23" t="s">
        <v>173</v>
      </c>
      <c r="L51" s="23" t="s">
        <v>225</v>
      </c>
      <c r="M51" s="23">
        <v>7</v>
      </c>
      <c r="N51" s="23" t="s">
        <v>629</v>
      </c>
      <c r="O51" s="23" t="s">
        <v>126</v>
      </c>
      <c r="P51" s="23">
        <v>2</v>
      </c>
      <c r="Q51" s="23">
        <v>0</v>
      </c>
      <c r="R51" s="24">
        <f t="shared" si="2"/>
        <v>0</v>
      </c>
      <c r="S51" s="25"/>
      <c r="T51" s="23" t="s">
        <v>127</v>
      </c>
      <c r="U51" s="12" t="s">
        <v>658</v>
      </c>
      <c r="V51" s="12" t="s">
        <v>659</v>
      </c>
      <c r="W51" s="12" t="s">
        <v>660</v>
      </c>
      <c r="X51" s="12" t="s">
        <v>131</v>
      </c>
      <c r="Y51" s="12" t="s">
        <v>132</v>
      </c>
      <c r="Z51" s="12" t="s">
        <v>661</v>
      </c>
      <c r="AA51" s="12"/>
      <c r="AB51" s="23">
        <v>0</v>
      </c>
      <c r="AC51" s="23" t="str">
        <f t="shared" si="3"/>
        <v>Foundation</v>
      </c>
      <c r="AD51" s="12" t="s">
        <v>265</v>
      </c>
    </row>
    <row r="52" ht="51">
      <c r="A52" s="23">
        <v>49</v>
      </c>
      <c r="B52" s="12" t="s">
        <v>662</v>
      </c>
      <c r="C52" s="12" t="s">
        <v>19</v>
      </c>
      <c r="D52" s="12" t="s">
        <v>663</v>
      </c>
      <c r="E52" s="12" t="s">
        <v>664</v>
      </c>
      <c r="F52" s="12" t="s">
        <v>665</v>
      </c>
      <c r="G52" s="12" t="s">
        <v>666</v>
      </c>
      <c r="H52" s="12" t="s">
        <v>121</v>
      </c>
      <c r="I52" s="12" t="s">
        <v>667</v>
      </c>
      <c r="J52" s="12" t="s">
        <v>668</v>
      </c>
      <c r="K52" s="23" t="s">
        <v>173</v>
      </c>
      <c r="L52" s="23" t="s">
        <v>225</v>
      </c>
      <c r="M52" s="23">
        <v>7</v>
      </c>
      <c r="N52" s="23" t="s">
        <v>669</v>
      </c>
      <c r="O52" s="23" t="s">
        <v>126</v>
      </c>
      <c r="P52" s="23">
        <v>2</v>
      </c>
      <c r="Q52" s="23">
        <v>0</v>
      </c>
      <c r="R52" s="24">
        <f t="shared" si="2"/>
        <v>0</v>
      </c>
      <c r="S52" s="25"/>
      <c r="T52" s="23" t="s">
        <v>127</v>
      </c>
      <c r="U52" s="12" t="s">
        <v>670</v>
      </c>
      <c r="V52" s="12" t="s">
        <v>671</v>
      </c>
      <c r="W52" s="12" t="s">
        <v>672</v>
      </c>
      <c r="X52" s="12" t="s">
        <v>131</v>
      </c>
      <c r="Y52" s="12" t="s">
        <v>132</v>
      </c>
      <c r="Z52" s="12" t="s">
        <v>673</v>
      </c>
      <c r="AA52" s="12"/>
      <c r="AB52" s="23">
        <v>0</v>
      </c>
      <c r="AC52" s="23" t="str">
        <f t="shared" si="3"/>
        <v>Foundation</v>
      </c>
      <c r="AD52" s="12" t="s">
        <v>265</v>
      </c>
    </row>
    <row r="53" ht="51">
      <c r="A53" s="23">
        <v>50</v>
      </c>
      <c r="B53" s="12" t="s">
        <v>674</v>
      </c>
      <c r="C53" s="12" t="s">
        <v>20</v>
      </c>
      <c r="D53" s="12" t="s">
        <v>675</v>
      </c>
      <c r="E53" s="12" t="s">
        <v>676</v>
      </c>
      <c r="F53" s="12" t="s">
        <v>677</v>
      </c>
      <c r="G53" s="12" t="s">
        <v>678</v>
      </c>
      <c r="H53" s="12" t="s">
        <v>679</v>
      </c>
      <c r="I53" s="12" t="s">
        <v>121</v>
      </c>
      <c r="J53" s="12" t="s">
        <v>680</v>
      </c>
      <c r="K53" s="23" t="s">
        <v>451</v>
      </c>
      <c r="L53" s="23" t="s">
        <v>151</v>
      </c>
      <c r="M53" s="23">
        <v>6</v>
      </c>
      <c r="N53" s="23" t="s">
        <v>156</v>
      </c>
      <c r="O53" s="23" t="s">
        <v>126</v>
      </c>
      <c r="P53" s="23">
        <v>2</v>
      </c>
      <c r="Q53" s="23">
        <v>0</v>
      </c>
      <c r="R53" s="24">
        <f t="shared" si="2"/>
        <v>0</v>
      </c>
      <c r="S53" s="25"/>
      <c r="T53" s="23" t="s">
        <v>127</v>
      </c>
      <c r="U53" s="12" t="s">
        <v>681</v>
      </c>
      <c r="V53" s="12" t="s">
        <v>682</v>
      </c>
      <c r="W53" s="12" t="s">
        <v>683</v>
      </c>
      <c r="X53" s="12" t="s">
        <v>131</v>
      </c>
      <c r="Y53" s="12" t="s">
        <v>132</v>
      </c>
      <c r="Z53" s="12" t="s">
        <v>684</v>
      </c>
      <c r="AA53" s="12"/>
      <c r="AB53" s="23">
        <v>0</v>
      </c>
      <c r="AC53" s="23" t="str">
        <f t="shared" si="3"/>
        <v>Foundation</v>
      </c>
      <c r="AD53" s="12" t="s">
        <v>41</v>
      </c>
    </row>
    <row r="54" ht="51">
      <c r="A54" s="23">
        <v>51</v>
      </c>
      <c r="B54" s="12" t="s">
        <v>685</v>
      </c>
      <c r="C54" s="12" t="s">
        <v>20</v>
      </c>
      <c r="D54" s="12" t="s">
        <v>686</v>
      </c>
      <c r="E54" s="12" t="s">
        <v>687</v>
      </c>
      <c r="F54" s="12" t="s">
        <v>688</v>
      </c>
      <c r="G54" s="12" t="s">
        <v>689</v>
      </c>
      <c r="H54" s="12" t="s">
        <v>679</v>
      </c>
      <c r="I54" s="12" t="s">
        <v>690</v>
      </c>
      <c r="J54" s="12" t="s">
        <v>680</v>
      </c>
      <c r="K54" s="23" t="s">
        <v>451</v>
      </c>
      <c r="L54" s="23" t="s">
        <v>225</v>
      </c>
      <c r="M54" s="23">
        <v>6</v>
      </c>
      <c r="N54" s="23" t="s">
        <v>691</v>
      </c>
      <c r="O54" s="23" t="s">
        <v>126</v>
      </c>
      <c r="P54" s="23">
        <v>2</v>
      </c>
      <c r="Q54" s="23">
        <v>0</v>
      </c>
      <c r="R54" s="24">
        <f t="shared" si="2"/>
        <v>0</v>
      </c>
      <c r="S54" s="25"/>
      <c r="T54" s="23" t="s">
        <v>127</v>
      </c>
      <c r="U54" s="12" t="s">
        <v>692</v>
      </c>
      <c r="V54" s="12" t="s">
        <v>693</v>
      </c>
      <c r="W54" s="12" t="s">
        <v>694</v>
      </c>
      <c r="X54" s="12" t="s">
        <v>131</v>
      </c>
      <c r="Y54" s="12" t="s">
        <v>132</v>
      </c>
      <c r="Z54" s="12" t="s">
        <v>695</v>
      </c>
      <c r="AA54" s="12"/>
      <c r="AB54" s="23">
        <v>0</v>
      </c>
      <c r="AC54" s="23" t="str">
        <f t="shared" si="3"/>
        <v>Foundation</v>
      </c>
      <c r="AD54" s="12" t="s">
        <v>41</v>
      </c>
    </row>
    <row r="55" ht="38.25">
      <c r="A55" s="23">
        <v>52</v>
      </c>
      <c r="B55" s="12" t="s">
        <v>696</v>
      </c>
      <c r="C55" s="12" t="s">
        <v>20</v>
      </c>
      <c r="D55" s="12" t="s">
        <v>697</v>
      </c>
      <c r="E55" s="12" t="s">
        <v>698</v>
      </c>
      <c r="F55" s="12" t="s">
        <v>699</v>
      </c>
      <c r="G55" s="12" t="s">
        <v>689</v>
      </c>
      <c r="H55" s="12" t="s">
        <v>679</v>
      </c>
      <c r="I55" s="12" t="s">
        <v>690</v>
      </c>
      <c r="J55" s="12" t="s">
        <v>680</v>
      </c>
      <c r="K55" s="23" t="s">
        <v>451</v>
      </c>
      <c r="L55" s="23" t="s">
        <v>225</v>
      </c>
      <c r="M55" s="23">
        <v>6</v>
      </c>
      <c r="N55" s="23" t="s">
        <v>700</v>
      </c>
      <c r="O55" s="23" t="s">
        <v>126</v>
      </c>
      <c r="P55" s="23">
        <v>2</v>
      </c>
      <c r="Q55" s="23">
        <v>0</v>
      </c>
      <c r="R55" s="24">
        <f t="shared" si="2"/>
        <v>0</v>
      </c>
      <c r="S55" s="25"/>
      <c r="T55" s="23" t="s">
        <v>127</v>
      </c>
      <c r="U55" s="12" t="s">
        <v>701</v>
      </c>
      <c r="V55" s="12" t="s">
        <v>702</v>
      </c>
      <c r="W55" s="12" t="s">
        <v>703</v>
      </c>
      <c r="X55" s="12" t="s">
        <v>131</v>
      </c>
      <c r="Y55" s="12" t="s">
        <v>132</v>
      </c>
      <c r="Z55" s="12" t="s">
        <v>704</v>
      </c>
      <c r="AA55" s="12"/>
      <c r="AB55" s="23">
        <v>0</v>
      </c>
      <c r="AC55" s="23" t="str">
        <f t="shared" si="3"/>
        <v>Foundation</v>
      </c>
      <c r="AD55" s="12" t="s">
        <v>41</v>
      </c>
    </row>
    <row r="56" ht="51">
      <c r="A56" s="23">
        <v>53</v>
      </c>
      <c r="B56" s="12" t="s">
        <v>705</v>
      </c>
      <c r="C56" s="12" t="s">
        <v>20</v>
      </c>
      <c r="D56" s="12" t="s">
        <v>706</v>
      </c>
      <c r="E56" s="12" t="s">
        <v>707</v>
      </c>
      <c r="F56" s="12" t="s">
        <v>708</v>
      </c>
      <c r="G56" s="12" t="s">
        <v>678</v>
      </c>
      <c r="H56" s="12" t="s">
        <v>679</v>
      </c>
      <c r="I56" s="12" t="s">
        <v>690</v>
      </c>
      <c r="J56" s="12" t="s">
        <v>680</v>
      </c>
      <c r="K56" s="23" t="s">
        <v>451</v>
      </c>
      <c r="L56" s="23" t="s">
        <v>225</v>
      </c>
      <c r="M56" s="23">
        <v>5</v>
      </c>
      <c r="N56" s="23" t="s">
        <v>685</v>
      </c>
      <c r="O56" s="23" t="s">
        <v>126</v>
      </c>
      <c r="P56" s="23">
        <v>2</v>
      </c>
      <c r="Q56" s="23">
        <v>0</v>
      </c>
      <c r="R56" s="24">
        <f t="shared" si="2"/>
        <v>0</v>
      </c>
      <c r="S56" s="25"/>
      <c r="T56" s="23" t="s">
        <v>127</v>
      </c>
      <c r="U56" s="12" t="s">
        <v>709</v>
      </c>
      <c r="V56" s="12" t="s">
        <v>710</v>
      </c>
      <c r="W56" s="12" t="s">
        <v>711</v>
      </c>
      <c r="X56" s="12" t="s">
        <v>131</v>
      </c>
      <c r="Y56" s="12" t="s">
        <v>132</v>
      </c>
      <c r="Z56" s="12" t="s">
        <v>712</v>
      </c>
      <c r="AA56" s="12"/>
      <c r="AB56" s="23">
        <v>0</v>
      </c>
      <c r="AC56" s="23" t="str">
        <f t="shared" si="3"/>
        <v>Foundation</v>
      </c>
      <c r="AD56" s="12" t="s">
        <v>41</v>
      </c>
    </row>
    <row r="57" ht="51">
      <c r="A57" s="23">
        <v>54</v>
      </c>
      <c r="B57" s="12" t="s">
        <v>713</v>
      </c>
      <c r="C57" s="12" t="s">
        <v>20</v>
      </c>
      <c r="D57" s="12" t="s">
        <v>714</v>
      </c>
      <c r="E57" s="12" t="s">
        <v>715</v>
      </c>
      <c r="F57" s="12" t="s">
        <v>716</v>
      </c>
      <c r="G57" s="12" t="s">
        <v>689</v>
      </c>
      <c r="H57" s="12" t="s">
        <v>679</v>
      </c>
      <c r="I57" s="12" t="s">
        <v>690</v>
      </c>
      <c r="J57" s="12" t="s">
        <v>680</v>
      </c>
      <c r="K57" s="23" t="s">
        <v>451</v>
      </c>
      <c r="L57" s="23" t="s">
        <v>225</v>
      </c>
      <c r="M57" s="23">
        <v>7</v>
      </c>
      <c r="N57" s="23" t="s">
        <v>717</v>
      </c>
      <c r="O57" s="23" t="s">
        <v>126</v>
      </c>
      <c r="P57" s="23">
        <v>2</v>
      </c>
      <c r="Q57" s="23">
        <v>0</v>
      </c>
      <c r="R57" s="24">
        <f t="shared" si="2"/>
        <v>0</v>
      </c>
      <c r="S57" s="25"/>
      <c r="T57" s="23" t="s">
        <v>127</v>
      </c>
      <c r="U57" s="12" t="s">
        <v>718</v>
      </c>
      <c r="V57" s="12" t="s">
        <v>719</v>
      </c>
      <c r="W57" s="12" t="s">
        <v>720</v>
      </c>
      <c r="X57" s="12" t="s">
        <v>131</v>
      </c>
      <c r="Y57" s="12" t="s">
        <v>132</v>
      </c>
      <c r="Z57" s="12" t="s">
        <v>721</v>
      </c>
      <c r="AA57" s="12"/>
      <c r="AB57" s="23">
        <v>0</v>
      </c>
      <c r="AC57" s="23" t="str">
        <f t="shared" si="3"/>
        <v>Foundation</v>
      </c>
      <c r="AD57" s="12" t="s">
        <v>41</v>
      </c>
    </row>
    <row r="58" ht="51">
      <c r="A58" s="23">
        <v>55</v>
      </c>
      <c r="B58" s="12" t="s">
        <v>722</v>
      </c>
      <c r="C58" s="12" t="s">
        <v>20</v>
      </c>
      <c r="D58" s="12" t="s">
        <v>723</v>
      </c>
      <c r="E58" s="12" t="s">
        <v>724</v>
      </c>
      <c r="F58" s="12" t="s">
        <v>725</v>
      </c>
      <c r="G58" s="12" t="s">
        <v>726</v>
      </c>
      <c r="H58" s="12" t="s">
        <v>679</v>
      </c>
      <c r="I58" s="12" t="s">
        <v>727</v>
      </c>
      <c r="J58" s="12" t="s">
        <v>728</v>
      </c>
      <c r="K58" s="23" t="s">
        <v>451</v>
      </c>
      <c r="L58" s="23" t="s">
        <v>225</v>
      </c>
      <c r="M58" s="23">
        <v>6</v>
      </c>
      <c r="N58" s="23" t="s">
        <v>729</v>
      </c>
      <c r="O58" s="23" t="s">
        <v>126</v>
      </c>
      <c r="P58" s="23">
        <v>2</v>
      </c>
      <c r="Q58" s="23">
        <v>0</v>
      </c>
      <c r="R58" s="24">
        <f t="shared" si="2"/>
        <v>0</v>
      </c>
      <c r="S58" s="25"/>
      <c r="T58" s="23" t="s">
        <v>127</v>
      </c>
      <c r="U58" s="12" t="s">
        <v>730</v>
      </c>
      <c r="V58" s="12" t="s">
        <v>731</v>
      </c>
      <c r="W58" s="12" t="s">
        <v>732</v>
      </c>
      <c r="X58" s="12" t="s">
        <v>131</v>
      </c>
      <c r="Y58" s="12" t="s">
        <v>132</v>
      </c>
      <c r="Z58" s="12" t="s">
        <v>733</v>
      </c>
      <c r="AA58" s="12"/>
      <c r="AB58" s="23">
        <v>0</v>
      </c>
      <c r="AC58" s="23" t="str">
        <f t="shared" si="3"/>
        <v>Foundation</v>
      </c>
      <c r="AD58" s="12" t="s">
        <v>265</v>
      </c>
    </row>
    <row r="59" ht="51">
      <c r="A59" s="23">
        <v>56</v>
      </c>
      <c r="B59" s="12" t="s">
        <v>734</v>
      </c>
      <c r="C59" s="12" t="s">
        <v>20</v>
      </c>
      <c r="D59" s="12" t="s">
        <v>735</v>
      </c>
      <c r="E59" s="12" t="s">
        <v>736</v>
      </c>
      <c r="F59" s="12" t="s">
        <v>737</v>
      </c>
      <c r="G59" s="12" t="s">
        <v>738</v>
      </c>
      <c r="H59" s="12" t="s">
        <v>679</v>
      </c>
      <c r="I59" s="12" t="s">
        <v>690</v>
      </c>
      <c r="J59" s="12" t="s">
        <v>739</v>
      </c>
      <c r="K59" s="23" t="s">
        <v>451</v>
      </c>
      <c r="L59" s="23" t="s">
        <v>225</v>
      </c>
      <c r="M59" s="23">
        <v>7</v>
      </c>
      <c r="N59" s="23" t="s">
        <v>740</v>
      </c>
      <c r="O59" s="23" t="s">
        <v>126</v>
      </c>
      <c r="P59" s="23">
        <v>2</v>
      </c>
      <c r="Q59" s="23">
        <v>0</v>
      </c>
      <c r="R59" s="24">
        <f t="shared" si="2"/>
        <v>0</v>
      </c>
      <c r="S59" s="25"/>
      <c r="T59" s="23" t="s">
        <v>127</v>
      </c>
      <c r="U59" s="12" t="s">
        <v>741</v>
      </c>
      <c r="V59" s="12" t="s">
        <v>742</v>
      </c>
      <c r="W59" s="12" t="s">
        <v>743</v>
      </c>
      <c r="X59" s="12" t="s">
        <v>131</v>
      </c>
      <c r="Y59" s="12" t="s">
        <v>132</v>
      </c>
      <c r="Z59" s="12" t="s">
        <v>744</v>
      </c>
      <c r="AA59" s="12"/>
      <c r="AB59" s="23">
        <v>0</v>
      </c>
      <c r="AC59" s="23" t="str">
        <f t="shared" si="3"/>
        <v>Foundation</v>
      </c>
      <c r="AD59" s="12" t="s">
        <v>265</v>
      </c>
    </row>
    <row r="60" ht="51">
      <c r="A60" s="23">
        <v>57</v>
      </c>
      <c r="B60" s="12" t="s">
        <v>745</v>
      </c>
      <c r="C60" s="12" t="s">
        <v>21</v>
      </c>
      <c r="D60" s="12" t="s">
        <v>746</v>
      </c>
      <c r="E60" s="12" t="s">
        <v>747</v>
      </c>
      <c r="F60" s="12" t="s">
        <v>748</v>
      </c>
      <c r="G60" s="12" t="s">
        <v>749</v>
      </c>
      <c r="H60" s="12" t="s">
        <v>121</v>
      </c>
      <c r="I60" s="12" t="s">
        <v>270</v>
      </c>
      <c r="J60" s="12" t="s">
        <v>123</v>
      </c>
      <c r="K60" s="23" t="s">
        <v>124</v>
      </c>
      <c r="L60" s="23" t="s">
        <v>151</v>
      </c>
      <c r="M60" s="23">
        <v>5</v>
      </c>
      <c r="N60" s="23" t="s">
        <v>330</v>
      </c>
      <c r="O60" s="23" t="s">
        <v>126</v>
      </c>
      <c r="P60" s="23">
        <v>2</v>
      </c>
      <c r="Q60" s="23">
        <v>0</v>
      </c>
      <c r="R60" s="24">
        <f t="shared" si="2"/>
        <v>0</v>
      </c>
      <c r="S60" s="25"/>
      <c r="T60" s="23" t="s">
        <v>127</v>
      </c>
      <c r="U60" s="12" t="s">
        <v>750</v>
      </c>
      <c r="V60" s="12" t="s">
        <v>751</v>
      </c>
      <c r="W60" s="12" t="s">
        <v>752</v>
      </c>
      <c r="X60" s="12" t="s">
        <v>131</v>
      </c>
      <c r="Y60" s="12" t="s">
        <v>132</v>
      </c>
      <c r="Z60" s="12" t="s">
        <v>753</v>
      </c>
      <c r="AA60" s="12"/>
      <c r="AB60" s="23">
        <v>0</v>
      </c>
      <c r="AC60" s="23" t="str">
        <f t="shared" si="3"/>
        <v>Foundation</v>
      </c>
      <c r="AD60" s="12" t="s">
        <v>36</v>
      </c>
    </row>
    <row r="61" ht="51">
      <c r="A61" s="23">
        <v>58</v>
      </c>
      <c r="B61" s="12" t="s">
        <v>754</v>
      </c>
      <c r="C61" s="12" t="s">
        <v>21</v>
      </c>
      <c r="D61" s="12" t="s">
        <v>755</v>
      </c>
      <c r="E61" s="12" t="s">
        <v>756</v>
      </c>
      <c r="F61" s="12" t="s">
        <v>757</v>
      </c>
      <c r="G61" s="12" t="s">
        <v>758</v>
      </c>
      <c r="H61" s="12" t="s">
        <v>121</v>
      </c>
      <c r="I61" s="12" t="s">
        <v>759</v>
      </c>
      <c r="J61" s="12" t="s">
        <v>123</v>
      </c>
      <c r="K61" s="23" t="s">
        <v>124</v>
      </c>
      <c r="L61" s="23" t="s">
        <v>225</v>
      </c>
      <c r="M61" s="23">
        <v>6</v>
      </c>
      <c r="N61" s="23" t="s">
        <v>760</v>
      </c>
      <c r="O61" s="23" t="s">
        <v>126</v>
      </c>
      <c r="P61" s="23">
        <v>2</v>
      </c>
      <c r="Q61" s="23">
        <v>0</v>
      </c>
      <c r="R61" s="24">
        <f t="shared" si="2"/>
        <v>0</v>
      </c>
      <c r="S61" s="25"/>
      <c r="T61" s="23" t="s">
        <v>127</v>
      </c>
      <c r="U61" s="12" t="s">
        <v>761</v>
      </c>
      <c r="V61" s="12" t="s">
        <v>762</v>
      </c>
      <c r="W61" s="12" t="s">
        <v>763</v>
      </c>
      <c r="X61" s="12" t="s">
        <v>131</v>
      </c>
      <c r="Y61" s="12" t="s">
        <v>132</v>
      </c>
      <c r="Z61" s="12" t="s">
        <v>764</v>
      </c>
      <c r="AA61" s="12"/>
      <c r="AB61" s="23">
        <v>0</v>
      </c>
      <c r="AC61" s="23" t="str">
        <f t="shared" si="3"/>
        <v>Foundation</v>
      </c>
      <c r="AD61" s="12" t="s">
        <v>41</v>
      </c>
    </row>
    <row r="62" ht="51">
      <c r="A62" s="23">
        <v>59</v>
      </c>
      <c r="B62" s="12" t="s">
        <v>765</v>
      </c>
      <c r="C62" s="12" t="s">
        <v>21</v>
      </c>
      <c r="D62" s="12" t="s">
        <v>766</v>
      </c>
      <c r="E62" s="12" t="s">
        <v>767</v>
      </c>
      <c r="F62" s="12" t="s">
        <v>768</v>
      </c>
      <c r="G62" s="12" t="s">
        <v>769</v>
      </c>
      <c r="H62" s="12" t="s">
        <v>121</v>
      </c>
      <c r="I62" s="12" t="s">
        <v>770</v>
      </c>
      <c r="J62" s="12" t="s">
        <v>123</v>
      </c>
      <c r="K62" s="23" t="s">
        <v>124</v>
      </c>
      <c r="L62" s="23" t="s">
        <v>151</v>
      </c>
      <c r="M62" s="23">
        <v>4</v>
      </c>
      <c r="N62" s="23" t="s">
        <v>771</v>
      </c>
      <c r="O62" s="23" t="s">
        <v>126</v>
      </c>
      <c r="P62" s="23">
        <v>2</v>
      </c>
      <c r="Q62" s="23">
        <v>0</v>
      </c>
      <c r="R62" s="24">
        <f t="shared" si="2"/>
        <v>0</v>
      </c>
      <c r="S62" s="25"/>
      <c r="T62" s="23" t="s">
        <v>127</v>
      </c>
      <c r="U62" s="12" t="s">
        <v>772</v>
      </c>
      <c r="V62" s="12" t="s">
        <v>773</v>
      </c>
      <c r="W62" s="12" t="s">
        <v>774</v>
      </c>
      <c r="X62" s="12" t="s">
        <v>131</v>
      </c>
      <c r="Y62" s="12" t="s">
        <v>132</v>
      </c>
      <c r="Z62" s="12" t="s">
        <v>775</v>
      </c>
      <c r="AA62" s="12"/>
      <c r="AB62" s="23">
        <v>0</v>
      </c>
      <c r="AC62" s="23" t="str">
        <f t="shared" si="3"/>
        <v>Foundation</v>
      </c>
      <c r="AD62" s="12" t="s">
        <v>36</v>
      </c>
    </row>
    <row r="63" ht="51">
      <c r="A63" s="23">
        <v>60</v>
      </c>
      <c r="B63" s="12" t="s">
        <v>776</v>
      </c>
      <c r="C63" s="12" t="s">
        <v>21</v>
      </c>
      <c r="D63" s="12" t="s">
        <v>777</v>
      </c>
      <c r="E63" s="12" t="s">
        <v>778</v>
      </c>
      <c r="F63" s="12" t="s">
        <v>779</v>
      </c>
      <c r="G63" s="12" t="s">
        <v>780</v>
      </c>
      <c r="H63" s="12" t="s">
        <v>121</v>
      </c>
      <c r="I63" s="12" t="s">
        <v>781</v>
      </c>
      <c r="J63" s="12" t="s">
        <v>782</v>
      </c>
      <c r="K63" s="23" t="s">
        <v>124</v>
      </c>
      <c r="L63" s="23" t="s">
        <v>225</v>
      </c>
      <c r="M63" s="23">
        <v>7</v>
      </c>
      <c r="N63" s="23" t="s">
        <v>783</v>
      </c>
      <c r="O63" s="23" t="s">
        <v>126</v>
      </c>
      <c r="P63" s="23">
        <v>2</v>
      </c>
      <c r="Q63" s="23">
        <v>0</v>
      </c>
      <c r="R63" s="24">
        <f t="shared" si="2"/>
        <v>0</v>
      </c>
      <c r="S63" s="25"/>
      <c r="T63" s="23" t="s">
        <v>127</v>
      </c>
      <c r="U63" s="12" t="s">
        <v>784</v>
      </c>
      <c r="V63" s="12" t="s">
        <v>785</v>
      </c>
      <c r="W63" s="12" t="s">
        <v>786</v>
      </c>
      <c r="X63" s="12" t="s">
        <v>131</v>
      </c>
      <c r="Y63" s="12" t="s">
        <v>132</v>
      </c>
      <c r="Z63" s="12" t="s">
        <v>787</v>
      </c>
      <c r="AA63" s="12"/>
      <c r="AB63" s="23">
        <v>0</v>
      </c>
      <c r="AC63" s="23" t="str">
        <f t="shared" si="3"/>
        <v>Foundation</v>
      </c>
      <c r="AD63" s="12" t="s">
        <v>41</v>
      </c>
    </row>
    <row r="64" ht="51">
      <c r="A64" s="23">
        <v>61</v>
      </c>
      <c r="B64" s="12" t="s">
        <v>788</v>
      </c>
      <c r="C64" s="12" t="s">
        <v>21</v>
      </c>
      <c r="D64" s="12" t="s">
        <v>789</v>
      </c>
      <c r="E64" s="12" t="s">
        <v>790</v>
      </c>
      <c r="F64" s="12" t="s">
        <v>791</v>
      </c>
      <c r="G64" s="12" t="s">
        <v>792</v>
      </c>
      <c r="H64" s="12" t="s">
        <v>121</v>
      </c>
      <c r="I64" s="12" t="s">
        <v>793</v>
      </c>
      <c r="J64" s="12" t="s">
        <v>794</v>
      </c>
      <c r="K64" s="23" t="s">
        <v>173</v>
      </c>
      <c r="L64" s="23" t="s">
        <v>225</v>
      </c>
      <c r="M64" s="23">
        <v>7</v>
      </c>
      <c r="N64" s="23" t="s">
        <v>795</v>
      </c>
      <c r="O64" s="23" t="s">
        <v>126</v>
      </c>
      <c r="P64" s="23">
        <v>2</v>
      </c>
      <c r="Q64" s="23">
        <v>0</v>
      </c>
      <c r="R64" s="24">
        <f t="shared" si="2"/>
        <v>0</v>
      </c>
      <c r="S64" s="25"/>
      <c r="T64" s="23" t="s">
        <v>127</v>
      </c>
      <c r="U64" s="12" t="s">
        <v>796</v>
      </c>
      <c r="V64" s="12" t="s">
        <v>797</v>
      </c>
      <c r="W64" s="12" t="s">
        <v>798</v>
      </c>
      <c r="X64" s="12" t="s">
        <v>131</v>
      </c>
      <c r="Y64" s="12" t="s">
        <v>132</v>
      </c>
      <c r="Z64" s="12" t="s">
        <v>799</v>
      </c>
      <c r="AA64" s="12"/>
      <c r="AB64" s="23">
        <v>0</v>
      </c>
      <c r="AC64" s="23" t="str">
        <f t="shared" si="3"/>
        <v>Foundation</v>
      </c>
      <c r="AD64" s="12" t="s">
        <v>41</v>
      </c>
    </row>
    <row r="65">
      <c r="A65" s="23">
        <v>62</v>
      </c>
      <c r="B65" s="12" t="s">
        <v>800</v>
      </c>
      <c r="C65" s="12" t="s">
        <v>21</v>
      </c>
      <c r="D65" s="12" t="s">
        <v>801</v>
      </c>
      <c r="E65" s="12" t="s">
        <v>802</v>
      </c>
      <c r="F65" s="12" t="s">
        <v>803</v>
      </c>
      <c r="G65" s="12" t="s">
        <v>804</v>
      </c>
      <c r="H65" s="12" t="s">
        <v>121</v>
      </c>
      <c r="I65" s="12" t="s">
        <v>634</v>
      </c>
      <c r="J65" s="12" t="s">
        <v>805</v>
      </c>
      <c r="K65" s="23" t="s">
        <v>249</v>
      </c>
      <c r="L65" s="23" t="s">
        <v>225</v>
      </c>
      <c r="M65" s="23">
        <v>6</v>
      </c>
      <c r="N65" s="23" t="s">
        <v>754</v>
      </c>
      <c r="O65" s="23" t="s">
        <v>126</v>
      </c>
      <c r="P65" s="23">
        <v>2</v>
      </c>
      <c r="Q65" s="23">
        <v>0</v>
      </c>
      <c r="R65" s="24">
        <f t="shared" si="2"/>
        <v>0</v>
      </c>
      <c r="S65" s="25"/>
      <c r="T65" s="23" t="s">
        <v>127</v>
      </c>
      <c r="U65" s="12" t="s">
        <v>806</v>
      </c>
      <c r="V65" s="12" t="s">
        <v>807</v>
      </c>
      <c r="W65" s="12" t="s">
        <v>808</v>
      </c>
      <c r="X65" s="12" t="s">
        <v>131</v>
      </c>
      <c r="Y65" s="12" t="s">
        <v>132</v>
      </c>
      <c r="Z65" s="12" t="s">
        <v>809</v>
      </c>
      <c r="AA65" s="12"/>
      <c r="AB65" s="23">
        <v>0</v>
      </c>
      <c r="AC65" s="23" t="str">
        <f t="shared" si="3"/>
        <v>Foundation</v>
      </c>
      <c r="AD65" s="12" t="s">
        <v>41</v>
      </c>
    </row>
    <row r="66">
      <c r="A66" s="23">
        <v>63</v>
      </c>
      <c r="B66" s="12" t="s">
        <v>810</v>
      </c>
      <c r="C66" s="12" t="s">
        <v>21</v>
      </c>
      <c r="D66" s="12" t="s">
        <v>811</v>
      </c>
      <c r="E66" s="12" t="s">
        <v>812</v>
      </c>
      <c r="F66" s="12" t="s">
        <v>813</v>
      </c>
      <c r="G66" s="12" t="s">
        <v>138</v>
      </c>
      <c r="H66" s="12" t="s">
        <v>121</v>
      </c>
      <c r="I66" s="12" t="s">
        <v>814</v>
      </c>
      <c r="J66" s="12" t="s">
        <v>123</v>
      </c>
      <c r="K66" s="23" t="s">
        <v>124</v>
      </c>
      <c r="L66" s="23" t="s">
        <v>225</v>
      </c>
      <c r="M66" s="23">
        <v>5</v>
      </c>
      <c r="N66" s="23" t="s">
        <v>815</v>
      </c>
      <c r="O66" s="23" t="s">
        <v>126</v>
      </c>
      <c r="P66" s="23">
        <v>2</v>
      </c>
      <c r="Q66" s="23">
        <v>0</v>
      </c>
      <c r="R66" s="24">
        <f t="shared" si="2"/>
        <v>0</v>
      </c>
      <c r="S66" s="25"/>
      <c r="T66" s="23" t="s">
        <v>127</v>
      </c>
      <c r="U66" s="12" t="s">
        <v>816</v>
      </c>
      <c r="V66" s="12" t="s">
        <v>817</v>
      </c>
      <c r="W66" s="12" t="s">
        <v>818</v>
      </c>
      <c r="X66" s="12" t="s">
        <v>131</v>
      </c>
      <c r="Y66" s="12" t="s">
        <v>132</v>
      </c>
      <c r="Z66" s="12" t="s">
        <v>819</v>
      </c>
      <c r="AA66" s="12"/>
      <c r="AB66" s="23">
        <v>0</v>
      </c>
      <c r="AC66" s="23" t="str">
        <f t="shared" si="3"/>
        <v>Foundation</v>
      </c>
      <c r="AD66" s="12" t="s">
        <v>36</v>
      </c>
    </row>
    <row r="67">
      <c r="A67" s="23">
        <v>64</v>
      </c>
      <c r="B67" s="12" t="s">
        <v>820</v>
      </c>
      <c r="C67" s="12" t="s">
        <v>21</v>
      </c>
      <c r="D67" s="12" t="s">
        <v>821</v>
      </c>
      <c r="E67" s="12" t="s">
        <v>822</v>
      </c>
      <c r="F67" s="12" t="s">
        <v>823</v>
      </c>
      <c r="G67" s="12" t="s">
        <v>824</v>
      </c>
      <c r="H67" s="12" t="s">
        <v>121</v>
      </c>
      <c r="I67" s="12" t="s">
        <v>171</v>
      </c>
      <c r="J67" s="12" t="s">
        <v>825</v>
      </c>
      <c r="K67" s="23" t="s">
        <v>173</v>
      </c>
      <c r="L67" s="23" t="s">
        <v>225</v>
      </c>
      <c r="M67" s="23">
        <v>7</v>
      </c>
      <c r="N67" s="23" t="s">
        <v>826</v>
      </c>
      <c r="O67" s="23" t="s">
        <v>126</v>
      </c>
      <c r="P67" s="23">
        <v>2</v>
      </c>
      <c r="Q67" s="23">
        <v>0</v>
      </c>
      <c r="R67" s="24">
        <f t="shared" si="2"/>
        <v>0</v>
      </c>
      <c r="S67" s="25"/>
      <c r="T67" s="23" t="s">
        <v>127</v>
      </c>
      <c r="U67" s="12" t="s">
        <v>827</v>
      </c>
      <c r="V67" s="12" t="s">
        <v>828</v>
      </c>
      <c r="W67" s="12" t="s">
        <v>829</v>
      </c>
      <c r="X67" s="12" t="s">
        <v>131</v>
      </c>
      <c r="Y67" s="12" t="s">
        <v>132</v>
      </c>
      <c r="Z67" s="12" t="s">
        <v>830</v>
      </c>
      <c r="AA67" s="12"/>
      <c r="AB67" s="23">
        <v>0</v>
      </c>
      <c r="AC67" s="23" t="str">
        <f t="shared" si="3"/>
        <v>Foundation</v>
      </c>
      <c r="AD67" s="12" t="s">
        <v>41</v>
      </c>
    </row>
    <row r="68">
      <c r="A68" s="23">
        <v>65</v>
      </c>
      <c r="B68" s="12" t="s">
        <v>831</v>
      </c>
      <c r="C68" s="12" t="s">
        <v>22</v>
      </c>
      <c r="D68" s="12" t="s">
        <v>832</v>
      </c>
      <c r="E68" s="12" t="s">
        <v>833</v>
      </c>
      <c r="F68" s="12" t="s">
        <v>834</v>
      </c>
      <c r="G68" s="12" t="s">
        <v>835</v>
      </c>
      <c r="H68" s="12" t="s">
        <v>121</v>
      </c>
      <c r="I68" s="12" t="s">
        <v>161</v>
      </c>
      <c r="J68" s="12" t="s">
        <v>836</v>
      </c>
      <c r="K68" s="23" t="s">
        <v>124</v>
      </c>
      <c r="L68" s="23" t="s">
        <v>151</v>
      </c>
      <c r="M68" s="23">
        <v>5</v>
      </c>
      <c r="N68" s="23" t="s">
        <v>134</v>
      </c>
      <c r="O68" s="23" t="s">
        <v>126</v>
      </c>
      <c r="P68" s="23">
        <v>2</v>
      </c>
      <c r="Q68" s="23">
        <v>0</v>
      </c>
      <c r="R68" s="24">
        <f t="shared" si="2"/>
        <v>0</v>
      </c>
      <c r="S68" s="25"/>
      <c r="T68" s="23" t="s">
        <v>127</v>
      </c>
      <c r="U68" s="12" t="s">
        <v>837</v>
      </c>
      <c r="V68" s="12" t="s">
        <v>838</v>
      </c>
      <c r="W68" s="12" t="s">
        <v>839</v>
      </c>
      <c r="X68" s="12" t="s">
        <v>131</v>
      </c>
      <c r="Y68" s="12" t="s">
        <v>132</v>
      </c>
      <c r="Z68" s="12" t="s">
        <v>840</v>
      </c>
      <c r="AA68" s="12"/>
      <c r="AB68" s="23">
        <v>0</v>
      </c>
      <c r="AC68" s="23" t="str">
        <f t="shared" si="3"/>
        <v>Foundation</v>
      </c>
      <c r="AD68" s="12" t="s">
        <v>36</v>
      </c>
    </row>
    <row r="69">
      <c r="A69" s="23">
        <v>66</v>
      </c>
      <c r="B69" s="12" t="s">
        <v>841</v>
      </c>
      <c r="C69" s="12" t="s">
        <v>22</v>
      </c>
      <c r="D69" s="12" t="s">
        <v>842</v>
      </c>
      <c r="E69" s="12" t="s">
        <v>843</v>
      </c>
      <c r="F69" s="12" t="s">
        <v>844</v>
      </c>
      <c r="G69" s="12" t="s">
        <v>845</v>
      </c>
      <c r="H69" s="12" t="s">
        <v>846</v>
      </c>
      <c r="I69" s="12" t="s">
        <v>847</v>
      </c>
      <c r="J69" s="12" t="s">
        <v>848</v>
      </c>
      <c r="K69" s="23" t="s">
        <v>173</v>
      </c>
      <c r="L69" s="23" t="s">
        <v>151</v>
      </c>
      <c r="M69" s="23">
        <v>5</v>
      </c>
      <c r="N69" s="23" t="s">
        <v>831</v>
      </c>
      <c r="O69" s="23" t="s">
        <v>126</v>
      </c>
      <c r="P69" s="23">
        <v>2</v>
      </c>
      <c r="Q69" s="23">
        <v>0</v>
      </c>
      <c r="R69" s="24">
        <f t="shared" si="2"/>
        <v>0</v>
      </c>
      <c r="S69" s="25"/>
      <c r="T69" s="23" t="s">
        <v>127</v>
      </c>
      <c r="U69" s="12" t="s">
        <v>849</v>
      </c>
      <c r="V69" s="12" t="s">
        <v>850</v>
      </c>
      <c r="W69" s="12" t="s">
        <v>851</v>
      </c>
      <c r="X69" s="12" t="s">
        <v>131</v>
      </c>
      <c r="Y69" s="12" t="s">
        <v>132</v>
      </c>
      <c r="Z69" s="12" t="s">
        <v>852</v>
      </c>
      <c r="AA69" s="12"/>
      <c r="AB69" s="23">
        <v>0</v>
      </c>
      <c r="AC69" s="23" t="str">
        <f t="shared" si="3"/>
        <v>Foundation</v>
      </c>
      <c r="AD69" s="12" t="s">
        <v>36</v>
      </c>
    </row>
    <row r="70">
      <c r="A70" s="23">
        <v>67</v>
      </c>
      <c r="B70" s="12" t="s">
        <v>853</v>
      </c>
      <c r="C70" s="12" t="s">
        <v>22</v>
      </c>
      <c r="D70" s="12" t="s">
        <v>854</v>
      </c>
      <c r="E70" s="12" t="s">
        <v>855</v>
      </c>
      <c r="F70" s="12" t="s">
        <v>856</v>
      </c>
      <c r="G70" s="12" t="s">
        <v>857</v>
      </c>
      <c r="H70" s="12" t="s">
        <v>121</v>
      </c>
      <c r="I70" s="12" t="s">
        <v>161</v>
      </c>
      <c r="J70" s="12" t="s">
        <v>858</v>
      </c>
      <c r="K70" s="23" t="s">
        <v>124</v>
      </c>
      <c r="L70" s="23" t="s">
        <v>225</v>
      </c>
      <c r="M70" s="23">
        <v>6</v>
      </c>
      <c r="N70" s="23" t="s">
        <v>831</v>
      </c>
      <c r="O70" s="23" t="s">
        <v>126</v>
      </c>
      <c r="P70" s="23">
        <v>2</v>
      </c>
      <c r="Q70" s="23">
        <v>0</v>
      </c>
      <c r="R70" s="24">
        <f t="shared" si="2"/>
        <v>0</v>
      </c>
      <c r="S70" s="25"/>
      <c r="T70" s="23" t="s">
        <v>127</v>
      </c>
      <c r="U70" s="12" t="s">
        <v>859</v>
      </c>
      <c r="V70" s="12" t="s">
        <v>860</v>
      </c>
      <c r="W70" s="12" t="s">
        <v>861</v>
      </c>
      <c r="X70" s="12" t="s">
        <v>131</v>
      </c>
      <c r="Y70" s="12" t="s">
        <v>132</v>
      </c>
      <c r="Z70" s="12" t="s">
        <v>862</v>
      </c>
      <c r="AA70" s="12"/>
      <c r="AB70" s="23">
        <v>0</v>
      </c>
      <c r="AC70" s="23" t="str">
        <f t="shared" si="3"/>
        <v>Foundation</v>
      </c>
      <c r="AD70" s="12" t="s">
        <v>72</v>
      </c>
    </row>
    <row r="71">
      <c r="A71" s="23">
        <v>68</v>
      </c>
      <c r="B71" s="12" t="s">
        <v>863</v>
      </c>
      <c r="C71" s="12" t="s">
        <v>22</v>
      </c>
      <c r="D71" s="12" t="s">
        <v>864</v>
      </c>
      <c r="E71" s="12" t="s">
        <v>865</v>
      </c>
      <c r="F71" s="12" t="s">
        <v>866</v>
      </c>
      <c r="G71" s="12" t="s">
        <v>867</v>
      </c>
      <c r="H71" s="12" t="s">
        <v>121</v>
      </c>
      <c r="I71" s="12" t="s">
        <v>847</v>
      </c>
      <c r="J71" s="12" t="s">
        <v>868</v>
      </c>
      <c r="K71" s="23" t="s">
        <v>124</v>
      </c>
      <c r="L71" s="23" t="s">
        <v>225</v>
      </c>
      <c r="M71" s="23">
        <v>6</v>
      </c>
      <c r="N71" s="23" t="s">
        <v>831</v>
      </c>
      <c r="O71" s="23" t="s">
        <v>126</v>
      </c>
      <c r="P71" s="23">
        <v>2</v>
      </c>
      <c r="Q71" s="23">
        <v>0</v>
      </c>
      <c r="R71" s="24">
        <f t="shared" si="2"/>
        <v>0</v>
      </c>
      <c r="S71" s="25"/>
      <c r="T71" s="23" t="s">
        <v>127</v>
      </c>
      <c r="U71" s="12" t="s">
        <v>869</v>
      </c>
      <c r="V71" s="12" t="s">
        <v>870</v>
      </c>
      <c r="W71" s="12" t="s">
        <v>871</v>
      </c>
      <c r="X71" s="12" t="s">
        <v>131</v>
      </c>
      <c r="Y71" s="12" t="s">
        <v>132</v>
      </c>
      <c r="Z71" s="12" t="s">
        <v>872</v>
      </c>
      <c r="AA71" s="12"/>
      <c r="AB71" s="23">
        <v>0</v>
      </c>
      <c r="AC71" s="23" t="str">
        <f t="shared" si="3"/>
        <v>Foundation</v>
      </c>
      <c r="AD71" s="12" t="s">
        <v>72</v>
      </c>
    </row>
    <row r="72">
      <c r="A72" s="23">
        <v>69</v>
      </c>
      <c r="B72" s="12" t="s">
        <v>873</v>
      </c>
      <c r="C72" s="12" t="s">
        <v>22</v>
      </c>
      <c r="D72" s="12" t="s">
        <v>874</v>
      </c>
      <c r="E72" s="12" t="s">
        <v>875</v>
      </c>
      <c r="F72" s="12" t="s">
        <v>876</v>
      </c>
      <c r="G72" s="12" t="s">
        <v>877</v>
      </c>
      <c r="H72" s="12" t="s">
        <v>121</v>
      </c>
      <c r="I72" s="12" t="s">
        <v>878</v>
      </c>
      <c r="J72" s="12" t="s">
        <v>879</v>
      </c>
      <c r="K72" s="23" t="s">
        <v>173</v>
      </c>
      <c r="L72" s="23" t="s">
        <v>225</v>
      </c>
      <c r="M72" s="23">
        <v>6</v>
      </c>
      <c r="N72" s="23" t="s">
        <v>841</v>
      </c>
      <c r="O72" s="23" t="s">
        <v>126</v>
      </c>
      <c r="P72" s="23">
        <v>2</v>
      </c>
      <c r="Q72" s="23">
        <v>0</v>
      </c>
      <c r="R72" s="24">
        <f t="shared" si="2"/>
        <v>0</v>
      </c>
      <c r="S72" s="25"/>
      <c r="T72" s="23" t="s">
        <v>127</v>
      </c>
      <c r="U72" s="12" t="s">
        <v>880</v>
      </c>
      <c r="V72" s="12" t="s">
        <v>881</v>
      </c>
      <c r="W72" s="12" t="s">
        <v>882</v>
      </c>
      <c r="X72" s="12" t="s">
        <v>131</v>
      </c>
      <c r="Y72" s="12" t="s">
        <v>132</v>
      </c>
      <c r="Z72" s="12" t="s">
        <v>883</v>
      </c>
      <c r="AA72" s="12"/>
      <c r="AB72" s="23">
        <v>0</v>
      </c>
      <c r="AC72" s="23" t="str">
        <f t="shared" si="3"/>
        <v>Foundation</v>
      </c>
      <c r="AD72" s="12" t="s">
        <v>884</v>
      </c>
    </row>
    <row r="73">
      <c r="A73" s="23">
        <v>70</v>
      </c>
      <c r="B73" s="12" t="s">
        <v>885</v>
      </c>
      <c r="C73" s="12" t="s">
        <v>22</v>
      </c>
      <c r="D73" s="12" t="s">
        <v>886</v>
      </c>
      <c r="E73" s="12" t="s">
        <v>887</v>
      </c>
      <c r="F73" s="12" t="s">
        <v>888</v>
      </c>
      <c r="G73" s="12" t="s">
        <v>889</v>
      </c>
      <c r="H73" s="12" t="s">
        <v>121</v>
      </c>
      <c r="I73" s="12" t="s">
        <v>890</v>
      </c>
      <c r="J73" s="12" t="s">
        <v>891</v>
      </c>
      <c r="K73" s="23" t="s">
        <v>173</v>
      </c>
      <c r="L73" s="23" t="s">
        <v>225</v>
      </c>
      <c r="M73" s="23">
        <v>6</v>
      </c>
      <c r="N73" s="23" t="s">
        <v>853</v>
      </c>
      <c r="O73" s="23" t="s">
        <v>126</v>
      </c>
      <c r="P73" s="23">
        <v>2</v>
      </c>
      <c r="Q73" s="23">
        <v>0</v>
      </c>
      <c r="R73" s="24">
        <f t="shared" si="2"/>
        <v>0</v>
      </c>
      <c r="S73" s="25"/>
      <c r="T73" s="23" t="s">
        <v>127</v>
      </c>
      <c r="U73" s="12" t="s">
        <v>892</v>
      </c>
      <c r="V73" s="12" t="s">
        <v>893</v>
      </c>
      <c r="W73" s="12" t="s">
        <v>894</v>
      </c>
      <c r="X73" s="12" t="s">
        <v>131</v>
      </c>
      <c r="Y73" s="12" t="s">
        <v>132</v>
      </c>
      <c r="Z73" s="12" t="s">
        <v>895</v>
      </c>
      <c r="AA73" s="12"/>
      <c r="AB73" s="23">
        <v>0</v>
      </c>
      <c r="AC73" s="23" t="str">
        <f t="shared" si="3"/>
        <v>Foundation</v>
      </c>
      <c r="AD73" s="12" t="s">
        <v>884</v>
      </c>
    </row>
    <row r="74">
      <c r="A74" s="23">
        <v>71</v>
      </c>
      <c r="B74" s="12" t="s">
        <v>896</v>
      </c>
      <c r="C74" s="12" t="s">
        <v>22</v>
      </c>
      <c r="D74" s="12" t="s">
        <v>897</v>
      </c>
      <c r="E74" s="12" t="s">
        <v>898</v>
      </c>
      <c r="F74" s="12" t="s">
        <v>899</v>
      </c>
      <c r="G74" s="12" t="s">
        <v>900</v>
      </c>
      <c r="H74" s="12" t="s">
        <v>121</v>
      </c>
      <c r="I74" s="12" t="s">
        <v>901</v>
      </c>
      <c r="J74" s="12" t="s">
        <v>902</v>
      </c>
      <c r="K74" s="23" t="s">
        <v>124</v>
      </c>
      <c r="L74" s="23" t="s">
        <v>225</v>
      </c>
      <c r="M74" s="23">
        <v>7</v>
      </c>
      <c r="N74" s="23" t="s">
        <v>903</v>
      </c>
      <c r="O74" s="23" t="s">
        <v>126</v>
      </c>
      <c r="P74" s="23">
        <v>2</v>
      </c>
      <c r="Q74" s="23">
        <v>0</v>
      </c>
      <c r="R74" s="24">
        <f t="shared" ref="R74:R88" si="4">IFERROR(MIN(Q74/P74,1),0)</f>
        <v>0</v>
      </c>
      <c r="S74" s="25"/>
      <c r="T74" s="23" t="s">
        <v>127</v>
      </c>
      <c r="U74" s="12" t="s">
        <v>904</v>
      </c>
      <c r="V74" s="12" t="s">
        <v>905</v>
      </c>
      <c r="W74" s="12" t="s">
        <v>906</v>
      </c>
      <c r="X74" s="12" t="s">
        <v>131</v>
      </c>
      <c r="Y74" s="12" t="s">
        <v>132</v>
      </c>
      <c r="Z74" s="12" t="s">
        <v>907</v>
      </c>
      <c r="AA74" s="12"/>
      <c r="AB74" s="23">
        <v>0</v>
      </c>
      <c r="AC74" s="23" t="str">
        <f t="shared" ref="AC74:AC88" si="5">IF(AB74&gt;=9,"Expert",IF(AB74&gt;=7,"Mastered",IF(AB74&gt;=4,"Developing","Foundation")))</f>
        <v>Foundation</v>
      </c>
      <c r="AD74" s="12" t="s">
        <v>884</v>
      </c>
    </row>
    <row r="75">
      <c r="A75" s="23">
        <v>72</v>
      </c>
      <c r="B75" s="12" t="s">
        <v>908</v>
      </c>
      <c r="C75" s="12" t="s">
        <v>23</v>
      </c>
      <c r="D75" s="12" t="s">
        <v>909</v>
      </c>
      <c r="E75" s="12" t="s">
        <v>910</v>
      </c>
      <c r="F75" s="12" t="s">
        <v>911</v>
      </c>
      <c r="G75" s="12" t="s">
        <v>912</v>
      </c>
      <c r="H75" s="12" t="s">
        <v>121</v>
      </c>
      <c r="I75" s="12" t="s">
        <v>913</v>
      </c>
      <c r="J75" s="12" t="s">
        <v>914</v>
      </c>
      <c r="K75" s="23" t="s">
        <v>173</v>
      </c>
      <c r="L75" s="23" t="s">
        <v>225</v>
      </c>
      <c r="M75" s="23">
        <v>6</v>
      </c>
      <c r="N75" s="23" t="s">
        <v>915</v>
      </c>
      <c r="O75" s="23" t="s">
        <v>126</v>
      </c>
      <c r="P75" s="23">
        <v>2</v>
      </c>
      <c r="Q75" s="23">
        <v>0</v>
      </c>
      <c r="R75" s="24">
        <f t="shared" si="4"/>
        <v>0</v>
      </c>
      <c r="S75" s="25"/>
      <c r="T75" s="23" t="s">
        <v>127</v>
      </c>
      <c r="U75" s="12" t="s">
        <v>916</v>
      </c>
      <c r="V75" s="12" t="s">
        <v>917</v>
      </c>
      <c r="W75" s="12" t="s">
        <v>918</v>
      </c>
      <c r="X75" s="12" t="s">
        <v>131</v>
      </c>
      <c r="Y75" s="12" t="s">
        <v>132</v>
      </c>
      <c r="Z75" s="12" t="s">
        <v>919</v>
      </c>
      <c r="AA75" s="12"/>
      <c r="AB75" s="23">
        <v>0</v>
      </c>
      <c r="AC75" s="23" t="str">
        <f t="shared" si="5"/>
        <v>Foundation</v>
      </c>
      <c r="AD75" s="12" t="s">
        <v>265</v>
      </c>
    </row>
    <row r="76">
      <c r="A76" s="23">
        <v>73</v>
      </c>
      <c r="B76" s="12" t="s">
        <v>920</v>
      </c>
      <c r="C76" s="12" t="s">
        <v>23</v>
      </c>
      <c r="D76" s="12" t="s">
        <v>921</v>
      </c>
      <c r="E76" s="12" t="s">
        <v>922</v>
      </c>
      <c r="F76" s="12" t="s">
        <v>923</v>
      </c>
      <c r="G76" s="12" t="s">
        <v>924</v>
      </c>
      <c r="H76" s="12" t="s">
        <v>925</v>
      </c>
      <c r="I76" s="12" t="s">
        <v>926</v>
      </c>
      <c r="J76" s="12" t="s">
        <v>927</v>
      </c>
      <c r="K76" s="23" t="s">
        <v>173</v>
      </c>
      <c r="L76" s="23" t="s">
        <v>225</v>
      </c>
      <c r="M76" s="23">
        <v>8</v>
      </c>
      <c r="N76" s="23" t="s">
        <v>928</v>
      </c>
      <c r="O76" s="23" t="s">
        <v>126</v>
      </c>
      <c r="P76" s="23">
        <v>2</v>
      </c>
      <c r="Q76" s="23">
        <v>0</v>
      </c>
      <c r="R76" s="24">
        <f t="shared" si="4"/>
        <v>0</v>
      </c>
      <c r="S76" s="25"/>
      <c r="T76" s="23" t="s">
        <v>127</v>
      </c>
      <c r="U76" s="12" t="s">
        <v>929</v>
      </c>
      <c r="V76" s="12" t="s">
        <v>930</v>
      </c>
      <c r="W76" s="12" t="s">
        <v>931</v>
      </c>
      <c r="X76" s="12" t="s">
        <v>131</v>
      </c>
      <c r="Y76" s="12" t="s">
        <v>132</v>
      </c>
      <c r="Z76" s="12" t="s">
        <v>932</v>
      </c>
      <c r="AA76" s="12"/>
      <c r="AB76" s="23">
        <v>0</v>
      </c>
      <c r="AC76" s="23" t="str">
        <f t="shared" si="5"/>
        <v>Foundation</v>
      </c>
      <c r="AD76" s="12" t="s">
        <v>265</v>
      </c>
    </row>
    <row r="77">
      <c r="A77" s="23">
        <v>74</v>
      </c>
      <c r="B77" s="12" t="s">
        <v>933</v>
      </c>
      <c r="C77" s="12" t="s">
        <v>23</v>
      </c>
      <c r="D77" s="12" t="s">
        <v>934</v>
      </c>
      <c r="E77" s="12" t="s">
        <v>935</v>
      </c>
      <c r="F77" s="12" t="s">
        <v>936</v>
      </c>
      <c r="G77" s="12" t="s">
        <v>937</v>
      </c>
      <c r="H77" s="12" t="s">
        <v>938</v>
      </c>
      <c r="I77" s="12" t="s">
        <v>939</v>
      </c>
      <c r="J77" s="12" t="s">
        <v>940</v>
      </c>
      <c r="K77" s="23" t="s">
        <v>451</v>
      </c>
      <c r="L77" s="23" t="s">
        <v>225</v>
      </c>
      <c r="M77" s="23">
        <v>7</v>
      </c>
      <c r="N77" s="23" t="s">
        <v>941</v>
      </c>
      <c r="O77" s="23" t="s">
        <v>126</v>
      </c>
      <c r="P77" s="23">
        <v>2</v>
      </c>
      <c r="Q77" s="23">
        <v>0</v>
      </c>
      <c r="R77" s="24">
        <f t="shared" si="4"/>
        <v>0</v>
      </c>
      <c r="S77" s="25"/>
      <c r="T77" s="23" t="s">
        <v>127</v>
      </c>
      <c r="U77" s="12" t="s">
        <v>942</v>
      </c>
      <c r="V77" s="12" t="s">
        <v>943</v>
      </c>
      <c r="W77" s="12" t="s">
        <v>944</v>
      </c>
      <c r="X77" s="12" t="s">
        <v>131</v>
      </c>
      <c r="Y77" s="12" t="s">
        <v>132</v>
      </c>
      <c r="Z77" s="12" t="s">
        <v>945</v>
      </c>
      <c r="AA77" s="12"/>
      <c r="AB77" s="23">
        <v>0</v>
      </c>
      <c r="AC77" s="23" t="str">
        <f t="shared" si="5"/>
        <v>Foundation</v>
      </c>
      <c r="AD77" s="12" t="s">
        <v>946</v>
      </c>
    </row>
    <row r="78">
      <c r="A78" s="23">
        <v>75</v>
      </c>
      <c r="B78" s="12" t="s">
        <v>947</v>
      </c>
      <c r="C78" s="12" t="s">
        <v>23</v>
      </c>
      <c r="D78" s="12" t="s">
        <v>948</v>
      </c>
      <c r="E78" s="12" t="s">
        <v>949</v>
      </c>
      <c r="F78" s="12" t="s">
        <v>950</v>
      </c>
      <c r="G78" s="12" t="s">
        <v>951</v>
      </c>
      <c r="H78" s="12" t="s">
        <v>448</v>
      </c>
      <c r="I78" s="12" t="s">
        <v>952</v>
      </c>
      <c r="J78" s="12" t="s">
        <v>953</v>
      </c>
      <c r="K78" s="23" t="s">
        <v>451</v>
      </c>
      <c r="L78" s="23" t="s">
        <v>225</v>
      </c>
      <c r="M78" s="23">
        <v>8</v>
      </c>
      <c r="N78" s="23" t="s">
        <v>954</v>
      </c>
      <c r="O78" s="23" t="s">
        <v>126</v>
      </c>
      <c r="P78" s="23">
        <v>2</v>
      </c>
      <c r="Q78" s="23">
        <v>0</v>
      </c>
      <c r="R78" s="24">
        <f t="shared" si="4"/>
        <v>0</v>
      </c>
      <c r="S78" s="25"/>
      <c r="T78" s="23" t="s">
        <v>127</v>
      </c>
      <c r="U78" s="12" t="s">
        <v>955</v>
      </c>
      <c r="V78" s="12" t="s">
        <v>956</v>
      </c>
      <c r="W78" s="12" t="s">
        <v>957</v>
      </c>
      <c r="X78" s="12" t="s">
        <v>131</v>
      </c>
      <c r="Y78" s="12" t="s">
        <v>132</v>
      </c>
      <c r="Z78" s="12" t="s">
        <v>958</v>
      </c>
      <c r="AA78" s="12"/>
      <c r="AB78" s="23">
        <v>0</v>
      </c>
      <c r="AC78" s="23" t="str">
        <f t="shared" si="5"/>
        <v>Foundation</v>
      </c>
      <c r="AD78" s="12" t="s">
        <v>959</v>
      </c>
    </row>
    <row r="79">
      <c r="A79" s="23">
        <v>76</v>
      </c>
      <c r="B79" s="12" t="s">
        <v>960</v>
      </c>
      <c r="C79" s="12" t="s">
        <v>23</v>
      </c>
      <c r="D79" s="12" t="s">
        <v>961</v>
      </c>
      <c r="E79" s="12" t="s">
        <v>962</v>
      </c>
      <c r="F79" s="12" t="s">
        <v>963</v>
      </c>
      <c r="G79" s="12" t="s">
        <v>964</v>
      </c>
      <c r="H79" s="12" t="s">
        <v>965</v>
      </c>
      <c r="I79" s="12" t="s">
        <v>966</v>
      </c>
      <c r="J79" s="12" t="s">
        <v>967</v>
      </c>
      <c r="K79" s="23" t="s">
        <v>451</v>
      </c>
      <c r="L79" s="23" t="s">
        <v>225</v>
      </c>
      <c r="M79" s="23">
        <v>8</v>
      </c>
      <c r="N79" s="23" t="s">
        <v>968</v>
      </c>
      <c r="O79" s="23" t="s">
        <v>126</v>
      </c>
      <c r="P79" s="23">
        <v>2</v>
      </c>
      <c r="Q79" s="23">
        <v>0</v>
      </c>
      <c r="R79" s="24">
        <f t="shared" si="4"/>
        <v>0</v>
      </c>
      <c r="S79" s="25"/>
      <c r="T79" s="23" t="s">
        <v>127</v>
      </c>
      <c r="U79" s="12" t="s">
        <v>969</v>
      </c>
      <c r="V79" s="12" t="s">
        <v>970</v>
      </c>
      <c r="W79" s="12" t="s">
        <v>971</v>
      </c>
      <c r="X79" s="12" t="s">
        <v>131</v>
      </c>
      <c r="Y79" s="12" t="s">
        <v>132</v>
      </c>
      <c r="Z79" s="12" t="s">
        <v>972</v>
      </c>
      <c r="AA79" s="12"/>
      <c r="AB79" s="23">
        <v>0</v>
      </c>
      <c r="AC79" s="23" t="str">
        <f t="shared" si="5"/>
        <v>Foundation</v>
      </c>
      <c r="AD79" s="12" t="s">
        <v>265</v>
      </c>
    </row>
    <row r="80">
      <c r="A80" s="23">
        <v>77</v>
      </c>
      <c r="B80" s="12" t="s">
        <v>973</v>
      </c>
      <c r="C80" s="12" t="s">
        <v>23</v>
      </c>
      <c r="D80" s="12" t="s">
        <v>974</v>
      </c>
      <c r="E80" s="12" t="s">
        <v>975</v>
      </c>
      <c r="F80" s="12" t="s">
        <v>976</v>
      </c>
      <c r="G80" s="12" t="s">
        <v>977</v>
      </c>
      <c r="H80" s="12" t="s">
        <v>121</v>
      </c>
      <c r="I80" s="12" t="s">
        <v>978</v>
      </c>
      <c r="J80" s="12" t="s">
        <v>979</v>
      </c>
      <c r="K80" s="23" t="s">
        <v>173</v>
      </c>
      <c r="L80" s="23" t="s">
        <v>225</v>
      </c>
      <c r="M80" s="23">
        <v>8</v>
      </c>
      <c r="N80" s="23" t="s">
        <v>980</v>
      </c>
      <c r="O80" s="23" t="s">
        <v>126</v>
      </c>
      <c r="P80" s="23">
        <v>2</v>
      </c>
      <c r="Q80" s="23">
        <v>0</v>
      </c>
      <c r="R80" s="24">
        <f t="shared" si="4"/>
        <v>0</v>
      </c>
      <c r="S80" s="25"/>
      <c r="T80" s="23" t="s">
        <v>127</v>
      </c>
      <c r="U80" s="12" t="s">
        <v>981</v>
      </c>
      <c r="V80" s="12" t="s">
        <v>982</v>
      </c>
      <c r="W80" s="12" t="s">
        <v>983</v>
      </c>
      <c r="X80" s="12" t="s">
        <v>131</v>
      </c>
      <c r="Y80" s="12" t="s">
        <v>132</v>
      </c>
      <c r="Z80" s="12" t="s">
        <v>984</v>
      </c>
      <c r="AA80" s="12"/>
      <c r="AB80" s="23">
        <v>0</v>
      </c>
      <c r="AC80" s="23" t="str">
        <f t="shared" si="5"/>
        <v>Foundation</v>
      </c>
      <c r="AD80" s="12" t="s">
        <v>946</v>
      </c>
    </row>
    <row r="81">
      <c r="A81" s="23">
        <v>78</v>
      </c>
      <c r="B81" s="12" t="s">
        <v>985</v>
      </c>
      <c r="C81" s="12" t="s">
        <v>23</v>
      </c>
      <c r="D81" s="12" t="s">
        <v>986</v>
      </c>
      <c r="E81" s="12" t="s">
        <v>987</v>
      </c>
      <c r="F81" s="12" t="s">
        <v>988</v>
      </c>
      <c r="G81" s="12" t="s">
        <v>989</v>
      </c>
      <c r="H81" s="12" t="s">
        <v>121</v>
      </c>
      <c r="I81" s="12" t="s">
        <v>990</v>
      </c>
      <c r="J81" s="12" t="s">
        <v>991</v>
      </c>
      <c r="K81" s="23" t="s">
        <v>249</v>
      </c>
      <c r="L81" s="23" t="s">
        <v>225</v>
      </c>
      <c r="M81" s="23">
        <v>6</v>
      </c>
      <c r="N81" s="23" t="s">
        <v>992</v>
      </c>
      <c r="O81" s="23" t="s">
        <v>126</v>
      </c>
      <c r="P81" s="23">
        <v>2</v>
      </c>
      <c r="Q81" s="23">
        <v>0</v>
      </c>
      <c r="R81" s="24">
        <f t="shared" si="4"/>
        <v>0</v>
      </c>
      <c r="S81" s="25"/>
      <c r="T81" s="23" t="s">
        <v>127</v>
      </c>
      <c r="U81" s="12" t="s">
        <v>993</v>
      </c>
      <c r="V81" s="12" t="s">
        <v>994</v>
      </c>
      <c r="W81" s="12" t="s">
        <v>995</v>
      </c>
      <c r="X81" s="12" t="s">
        <v>131</v>
      </c>
      <c r="Y81" s="12" t="s">
        <v>132</v>
      </c>
      <c r="Z81" s="12" t="s">
        <v>996</v>
      </c>
      <c r="AA81" s="12"/>
      <c r="AB81" s="23">
        <v>0</v>
      </c>
      <c r="AC81" s="23" t="str">
        <f t="shared" si="5"/>
        <v>Foundation</v>
      </c>
      <c r="AD81" s="12" t="s">
        <v>265</v>
      </c>
    </row>
    <row r="82">
      <c r="A82" s="23">
        <v>79</v>
      </c>
      <c r="B82" s="12" t="s">
        <v>997</v>
      </c>
      <c r="C82" s="12" t="s">
        <v>23</v>
      </c>
      <c r="D82" s="12" t="s">
        <v>998</v>
      </c>
      <c r="E82" s="12" t="s">
        <v>999</v>
      </c>
      <c r="F82" s="12" t="s">
        <v>1000</v>
      </c>
      <c r="G82" s="12" t="s">
        <v>1001</v>
      </c>
      <c r="H82" s="12" t="s">
        <v>1002</v>
      </c>
      <c r="I82" s="12" t="s">
        <v>1003</v>
      </c>
      <c r="J82" s="12" t="s">
        <v>1004</v>
      </c>
      <c r="K82" s="23" t="s">
        <v>249</v>
      </c>
      <c r="L82" s="23" t="s">
        <v>225</v>
      </c>
      <c r="M82" s="23">
        <v>6</v>
      </c>
      <c r="N82" s="23" t="s">
        <v>1005</v>
      </c>
      <c r="O82" s="23" t="s">
        <v>126</v>
      </c>
      <c r="P82" s="23">
        <v>2</v>
      </c>
      <c r="Q82" s="23">
        <v>0</v>
      </c>
      <c r="R82" s="24">
        <f t="shared" si="4"/>
        <v>0</v>
      </c>
      <c r="S82" s="25"/>
      <c r="T82" s="23" t="s">
        <v>127</v>
      </c>
      <c r="U82" s="12" t="s">
        <v>1006</v>
      </c>
      <c r="V82" s="12" t="s">
        <v>1007</v>
      </c>
      <c r="W82" s="12" t="s">
        <v>1008</v>
      </c>
      <c r="X82" s="12" t="s">
        <v>131</v>
      </c>
      <c r="Y82" s="12" t="s">
        <v>132</v>
      </c>
      <c r="Z82" s="12" t="s">
        <v>1009</v>
      </c>
      <c r="AA82" s="12"/>
      <c r="AB82" s="23">
        <v>0</v>
      </c>
      <c r="AC82" s="23" t="str">
        <f t="shared" si="5"/>
        <v>Foundation</v>
      </c>
      <c r="AD82" s="12" t="s">
        <v>946</v>
      </c>
    </row>
    <row r="83">
      <c r="A83" s="23">
        <v>80</v>
      </c>
      <c r="B83" s="12" t="s">
        <v>1010</v>
      </c>
      <c r="C83" s="12" t="s">
        <v>24</v>
      </c>
      <c r="D83" s="12" t="s">
        <v>1011</v>
      </c>
      <c r="E83" s="12" t="s">
        <v>1012</v>
      </c>
      <c r="F83" s="12" t="s">
        <v>1013</v>
      </c>
      <c r="G83" s="12" t="s">
        <v>1014</v>
      </c>
      <c r="H83" s="12" t="s">
        <v>121</v>
      </c>
      <c r="I83" s="12" t="s">
        <v>1015</v>
      </c>
      <c r="J83" s="12" t="s">
        <v>1016</v>
      </c>
      <c r="K83" s="23" t="s">
        <v>173</v>
      </c>
      <c r="L83" s="23" t="s">
        <v>225</v>
      </c>
      <c r="M83" s="23">
        <v>10</v>
      </c>
      <c r="N83" s="23" t="s">
        <v>1017</v>
      </c>
      <c r="O83" s="23" t="s">
        <v>126</v>
      </c>
      <c r="P83" s="23">
        <v>2</v>
      </c>
      <c r="Q83" s="23">
        <v>0</v>
      </c>
      <c r="R83" s="24">
        <f t="shared" si="4"/>
        <v>0</v>
      </c>
      <c r="S83" s="25"/>
      <c r="T83" s="23" t="s">
        <v>127</v>
      </c>
      <c r="U83" s="12" t="s">
        <v>1018</v>
      </c>
      <c r="V83" s="12" t="s">
        <v>1019</v>
      </c>
      <c r="W83" s="12" t="s">
        <v>1020</v>
      </c>
      <c r="X83" s="12" t="s">
        <v>131</v>
      </c>
      <c r="Y83" s="12" t="s">
        <v>132</v>
      </c>
      <c r="Z83" s="12" t="s">
        <v>1021</v>
      </c>
      <c r="AA83" s="12"/>
      <c r="AB83" s="23">
        <v>0</v>
      </c>
      <c r="AC83" s="23" t="str">
        <f t="shared" si="5"/>
        <v>Foundation</v>
      </c>
      <c r="AD83" s="12" t="s">
        <v>41</v>
      </c>
    </row>
    <row r="84">
      <c r="A84" s="23">
        <v>81</v>
      </c>
      <c r="B84" s="12" t="s">
        <v>1022</v>
      </c>
      <c r="C84" s="12" t="s">
        <v>24</v>
      </c>
      <c r="D84" s="12" t="s">
        <v>1023</v>
      </c>
      <c r="E84" s="12" t="s">
        <v>1024</v>
      </c>
      <c r="F84" s="12" t="s">
        <v>1025</v>
      </c>
      <c r="G84" s="12" t="s">
        <v>1026</v>
      </c>
      <c r="H84" s="12" t="s">
        <v>121</v>
      </c>
      <c r="I84" s="12" t="s">
        <v>1027</v>
      </c>
      <c r="J84" s="12" t="s">
        <v>690</v>
      </c>
      <c r="K84" s="23" t="s">
        <v>173</v>
      </c>
      <c r="L84" s="23" t="s">
        <v>225</v>
      </c>
      <c r="M84" s="23">
        <v>9</v>
      </c>
      <c r="N84" s="23" t="s">
        <v>1028</v>
      </c>
      <c r="O84" s="23" t="s">
        <v>126</v>
      </c>
      <c r="P84" s="23">
        <v>2</v>
      </c>
      <c r="Q84" s="23">
        <v>0</v>
      </c>
      <c r="R84" s="24">
        <f t="shared" si="4"/>
        <v>0</v>
      </c>
      <c r="S84" s="25"/>
      <c r="T84" s="23" t="s">
        <v>127</v>
      </c>
      <c r="U84" s="12" t="s">
        <v>1029</v>
      </c>
      <c r="V84" s="12" t="s">
        <v>1030</v>
      </c>
      <c r="W84" s="12" t="s">
        <v>1031</v>
      </c>
      <c r="X84" s="12" t="s">
        <v>131</v>
      </c>
      <c r="Y84" s="12" t="s">
        <v>132</v>
      </c>
      <c r="Z84" s="12" t="s">
        <v>1032</v>
      </c>
      <c r="AA84" s="12"/>
      <c r="AB84" s="23">
        <v>0</v>
      </c>
      <c r="AC84" s="23" t="str">
        <f t="shared" si="5"/>
        <v>Foundation</v>
      </c>
      <c r="AD84" s="12" t="s">
        <v>241</v>
      </c>
    </row>
    <row r="85">
      <c r="A85" s="23">
        <v>82</v>
      </c>
      <c r="B85" s="12" t="s">
        <v>1033</v>
      </c>
      <c r="C85" s="12" t="s">
        <v>24</v>
      </c>
      <c r="D85" s="12" t="s">
        <v>1034</v>
      </c>
      <c r="E85" s="12" t="s">
        <v>1035</v>
      </c>
      <c r="F85" s="12" t="s">
        <v>1036</v>
      </c>
      <c r="G85" s="12" t="s">
        <v>1037</v>
      </c>
      <c r="H85" s="12" t="s">
        <v>679</v>
      </c>
      <c r="I85" s="12" t="s">
        <v>1038</v>
      </c>
      <c r="J85" s="12" t="s">
        <v>1039</v>
      </c>
      <c r="K85" s="23" t="s">
        <v>451</v>
      </c>
      <c r="L85" s="23" t="s">
        <v>225</v>
      </c>
      <c r="M85" s="23">
        <v>10</v>
      </c>
      <c r="N85" s="23" t="s">
        <v>1040</v>
      </c>
      <c r="O85" s="23" t="s">
        <v>126</v>
      </c>
      <c r="P85" s="23">
        <v>2</v>
      </c>
      <c r="Q85" s="23">
        <v>0</v>
      </c>
      <c r="R85" s="24">
        <f t="shared" si="4"/>
        <v>0</v>
      </c>
      <c r="S85" s="25"/>
      <c r="T85" s="23" t="s">
        <v>127</v>
      </c>
      <c r="U85" s="12" t="s">
        <v>1041</v>
      </c>
      <c r="V85" s="12" t="s">
        <v>1042</v>
      </c>
      <c r="W85" s="12" t="s">
        <v>1043</v>
      </c>
      <c r="X85" s="12" t="s">
        <v>131</v>
      </c>
      <c r="Y85" s="12" t="s">
        <v>132</v>
      </c>
      <c r="Z85" s="12" t="s">
        <v>1044</v>
      </c>
      <c r="AA85" s="12"/>
      <c r="AB85" s="23">
        <v>0</v>
      </c>
      <c r="AC85" s="23" t="str">
        <f t="shared" si="5"/>
        <v>Foundation</v>
      </c>
      <c r="AD85" s="12" t="s">
        <v>41</v>
      </c>
    </row>
    <row r="86">
      <c r="A86" s="23">
        <v>83</v>
      </c>
      <c r="B86" s="12" t="s">
        <v>1045</v>
      </c>
      <c r="C86" s="12" t="s">
        <v>24</v>
      </c>
      <c r="D86" s="12" t="s">
        <v>1046</v>
      </c>
      <c r="E86" s="12" t="s">
        <v>1047</v>
      </c>
      <c r="F86" s="12" t="s">
        <v>1048</v>
      </c>
      <c r="G86" s="12" t="s">
        <v>1049</v>
      </c>
      <c r="H86" s="12" t="s">
        <v>121</v>
      </c>
      <c r="I86" s="12" t="s">
        <v>1050</v>
      </c>
      <c r="J86" s="12" t="s">
        <v>1051</v>
      </c>
      <c r="K86" s="23" t="s">
        <v>173</v>
      </c>
      <c r="L86" s="23" t="s">
        <v>225</v>
      </c>
      <c r="M86" s="23">
        <v>10</v>
      </c>
      <c r="N86" s="23" t="s">
        <v>1052</v>
      </c>
      <c r="O86" s="23" t="s">
        <v>126</v>
      </c>
      <c r="P86" s="23">
        <v>2</v>
      </c>
      <c r="Q86" s="23">
        <v>0</v>
      </c>
      <c r="R86" s="24">
        <f t="shared" si="4"/>
        <v>0</v>
      </c>
      <c r="S86" s="25"/>
      <c r="T86" s="23" t="s">
        <v>127</v>
      </c>
      <c r="U86" s="12" t="s">
        <v>1053</v>
      </c>
      <c r="V86" s="12" t="s">
        <v>1054</v>
      </c>
      <c r="W86" s="12" t="s">
        <v>1055</v>
      </c>
      <c r="X86" s="12" t="s">
        <v>131</v>
      </c>
      <c r="Y86" s="12" t="s">
        <v>132</v>
      </c>
      <c r="Z86" s="12" t="s">
        <v>1056</v>
      </c>
      <c r="AA86" s="12"/>
      <c r="AB86" s="23">
        <v>0</v>
      </c>
      <c r="AC86" s="23" t="str">
        <f t="shared" si="5"/>
        <v>Foundation</v>
      </c>
      <c r="AD86" s="12" t="s">
        <v>41</v>
      </c>
    </row>
    <row r="87">
      <c r="A87" s="23">
        <v>84</v>
      </c>
      <c r="B87" s="12" t="s">
        <v>1057</v>
      </c>
      <c r="C87" s="12" t="s">
        <v>24</v>
      </c>
      <c r="D87" s="12" t="s">
        <v>1058</v>
      </c>
      <c r="E87" s="12" t="s">
        <v>1059</v>
      </c>
      <c r="F87" s="12" t="s">
        <v>1060</v>
      </c>
      <c r="G87" s="12" t="s">
        <v>900</v>
      </c>
      <c r="H87" s="12" t="s">
        <v>121</v>
      </c>
      <c r="I87" s="12" t="s">
        <v>1061</v>
      </c>
      <c r="J87" s="12" t="s">
        <v>1062</v>
      </c>
      <c r="K87" s="23" t="s">
        <v>124</v>
      </c>
      <c r="L87" s="23" t="s">
        <v>225</v>
      </c>
      <c r="M87" s="23">
        <v>9</v>
      </c>
      <c r="N87" s="23" t="s">
        <v>1063</v>
      </c>
      <c r="O87" s="23" t="s">
        <v>126</v>
      </c>
      <c r="P87" s="23">
        <v>2</v>
      </c>
      <c r="Q87" s="23">
        <v>0</v>
      </c>
      <c r="R87" s="24">
        <f t="shared" si="4"/>
        <v>0</v>
      </c>
      <c r="S87" s="25"/>
      <c r="T87" s="23" t="s">
        <v>127</v>
      </c>
      <c r="U87" s="12" t="s">
        <v>1064</v>
      </c>
      <c r="V87" s="12" t="s">
        <v>1065</v>
      </c>
      <c r="W87" s="12" t="s">
        <v>1066</v>
      </c>
      <c r="X87" s="12" t="s">
        <v>131</v>
      </c>
      <c r="Y87" s="12" t="s">
        <v>132</v>
      </c>
      <c r="Z87" s="12" t="s">
        <v>1067</v>
      </c>
      <c r="AA87" s="12"/>
      <c r="AB87" s="23">
        <v>0</v>
      </c>
      <c r="AC87" s="23" t="str">
        <f t="shared" si="5"/>
        <v>Foundation</v>
      </c>
      <c r="AD87" s="12" t="s">
        <v>884</v>
      </c>
    </row>
    <row r="88">
      <c r="A88" s="26">
        <v>85</v>
      </c>
      <c r="B88" s="14" t="s">
        <v>1068</v>
      </c>
      <c r="C88" s="14" t="s">
        <v>24</v>
      </c>
      <c r="D88" s="14" t="s">
        <v>1069</v>
      </c>
      <c r="E88" s="14" t="s">
        <v>1070</v>
      </c>
      <c r="F88" s="14" t="s">
        <v>1071</v>
      </c>
      <c r="G88" s="14" t="s">
        <v>1072</v>
      </c>
      <c r="H88" s="14" t="s">
        <v>121</v>
      </c>
      <c r="I88" s="14" t="s">
        <v>1073</v>
      </c>
      <c r="J88" s="14" t="s">
        <v>1074</v>
      </c>
      <c r="K88" s="26" t="s">
        <v>173</v>
      </c>
      <c r="L88" s="26" t="s">
        <v>225</v>
      </c>
      <c r="M88" s="26">
        <v>10</v>
      </c>
      <c r="N88" s="26" t="s">
        <v>1075</v>
      </c>
      <c r="O88" s="26" t="s">
        <v>126</v>
      </c>
      <c r="P88" s="26">
        <v>2</v>
      </c>
      <c r="Q88" s="26">
        <v>0</v>
      </c>
      <c r="R88" s="27">
        <f t="shared" si="4"/>
        <v>0</v>
      </c>
      <c r="S88" s="28"/>
      <c r="T88" s="26" t="s">
        <v>127</v>
      </c>
      <c r="U88" s="14" t="s">
        <v>1076</v>
      </c>
      <c r="V88" s="14" t="s">
        <v>1077</v>
      </c>
      <c r="W88" s="14" t="s">
        <v>1078</v>
      </c>
      <c r="X88" s="14" t="s">
        <v>131</v>
      </c>
      <c r="Y88" s="14" t="s">
        <v>132</v>
      </c>
      <c r="Z88" s="14" t="s">
        <v>1079</v>
      </c>
      <c r="AA88" s="14"/>
      <c r="AB88" s="26">
        <v>0</v>
      </c>
      <c r="AC88" s="26" t="str">
        <f t="shared" si="5"/>
        <v>Foundation</v>
      </c>
      <c r="AD88" s="14" t="s">
        <v>946</v>
      </c>
    </row>
  </sheetData>
  <mergeCells count="2">
    <mergeCell ref="A1:AD1"/>
    <mergeCell ref="A2:A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Completed" id="{7294779F-37E5-43BE-9DAE-A980B60C5F7E}">
            <x14:dxf>
              <font>
                <b/>
                <color rgb="FF176B34"/>
              </font>
              <fill>
                <patternFill patternType="solid">
                  <fgColor rgb="FFDFF3E4"/>
                  <bgColor rgb="FFDFF3E4"/>
                </patternFill>
              </fill>
            </x14:dxf>
          </x14:cfRule>
          <xm:sqref>O4:O88</xm:sqref>
        </x14:conditionalFormatting>
        <x14:conditionalFormatting xmlns:xm="http://schemas.microsoft.com/office/excel/2006/main">
          <x14:cfRule type="containsText" priority="2" operator="containsText" text="In Progress" id="{293E432D-536E-4A40-803E-A9287A81314B}">
            <x14:dxf>
              <font>
                <b/>
                <color rgb="FF8A5B00"/>
              </font>
              <fill>
                <patternFill patternType="solid">
                  <fgColor rgb="FFFFF0C2"/>
                  <bgColor rgb="FFFFF0C2"/>
                </patternFill>
              </fill>
            </x14:dxf>
          </x14:cfRule>
          <xm:sqref>O4:O88</xm:sqref>
        </x14:conditionalFormatting>
        <x14:conditionalFormatting xmlns:xm="http://schemas.microsoft.com/office/excel/2006/main">
          <x14:cfRule type="containsText" priority="3" operator="containsText" text="Blocked" id="{604D98BC-24B6-4486-ABD1-E50AD2BF49F2}">
            <x14:dxf>
              <font>
                <b/>
                <color rgb="FF9B1C1C"/>
              </font>
              <fill>
                <patternFill patternType="solid">
                  <fgColor rgb="FFFADADD"/>
                  <bgColor rgb="FFFADADD"/>
                </patternFill>
              </fill>
            </x14:dxf>
          </x14:cfRule>
          <xm:sqref>O4:O88</xm:sqref>
        </x14:conditionalFormatting>
        <x14:conditionalFormatting xmlns:xm="http://schemas.microsoft.com/office/excel/2006/main">
          <x14:cfRule type="containsText" priority="4" operator="containsText" text="FULL" id="{E8732CFB-E535-437B-BDF3-321897439577}">
            <x14:dxf>
              <fill>
                <patternFill patternType="solid">
                  <fgColor rgb="FFDFF3E4"/>
                  <bgColor rgb="FFDFF3E4"/>
                </patternFill>
              </fill>
            </x14:dxf>
          </x14:cfRule>
          <xm:sqref>K4:K88</xm:sqref>
        </x14:conditionalFormatting>
        <x14:conditionalFormatting xmlns:xm="http://schemas.microsoft.com/office/excel/2006/main">
          <x14:cfRule type="containsText" priority="5" operator="containsText" text="FUTURE DEPENDENCY" id="{042164F4-D19A-434C-9521-0B6A1FBC6663}">
            <x14:dxf>
              <fill>
                <patternFill patternType="solid">
                  <fgColor rgb="FFEAE2F8"/>
                  <bgColor rgb="FFEAE2F8"/>
                </patternFill>
              </fill>
            </x14:dxf>
          </x14:cfRule>
          <xm:sqref>K4:K88</xm:sqref>
        </x14:conditionalFormatting>
        <x14:conditionalFormatting xmlns:xm="http://schemas.microsoft.com/office/excel/2006/main">
          <x14:cfRule type="dataBar" priority="6" id="{B37A4BF3-5CAB-4BB3-9CA2-355A6F253098}">
            <x14:dataBar maxLength="90" minLength="10" axisPosition="automatic" direction="context">
              <x14:cfvo type="min"/>
              <x14:cfvo type="max"/>
              <x14:fillColor rgb="FF1565C0"/>
            </x14:dataBar>
          </x14:cfRule>
          <xm:sqref>R4:R88</xm:sqref>
        </x14:conditionalFormatting>
        <x14:conditionalFormatting xmlns:xm="http://schemas.microsoft.com/office/excel/2006/main">
          <x14:cfRule type="containsText" priority="7" operator="containsText" text="Mastered" id="{16698D6D-61EE-4F16-91BD-DAABF5151414}">
            <x14:dxf>
              <font>
                <b/>
                <color rgb="FF176B34"/>
              </font>
              <fill>
                <patternFill patternType="solid">
                  <fgColor rgb="FFDFF3E4"/>
                  <bgColor rgb="FFDFF3E4"/>
                </patternFill>
              </fill>
            </x14:dxf>
          </x14:cfRule>
          <xm:sqref>AC4:AC88</xm:sqref>
        </x14:conditionalFormatting>
        <x14:conditionalFormatting xmlns:xm="http://schemas.microsoft.com/office/excel/2006/main">
          <x14:cfRule type="containsText" priority="8" operator="containsText" text="Expert" id="{40E9186F-E3F5-4DA0-8D48-42BE699E2604}">
            <x14:dxf>
              <font>
                <b/>
                <color rgb="FF5B2C83"/>
              </font>
              <fill>
                <patternFill patternType="solid">
                  <fgColor rgb="FFEAE2F8"/>
                  <bgColor rgb="FFEAE2F8"/>
                </patternFill>
              </fill>
            </x14:dxf>
          </x14:cfRule>
          <xm:sqref>AC4:AC88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58ACFDA4-28C8-4146-9D5E-A662D49A0F32}" type="list" allowBlank="0" errorStyle="stop" imeMode="noControl" operator="between" showDropDown="0" showErrorMessage="0" showInputMessage="0">
          <x14:formula1>
            <xm:f>"Not Started,In Progress,Completed,Review Needed,Blocked"</xm:f>
          </x14:formula1>
          <xm:sqref>O4:O88</xm:sqref>
        </x14:dataValidation>
        <x14:dataValidation xr:uid="{A908FC2B-8B6E-4E8B-85CB-CEB9AFDCFCF4}" type="list" allowBlank="0" errorStyle="stop" imeMode="noControl" operator="between" showDropDown="0" showErrorMessage="0" showInputMessage="0">
          <x14:formula1>
            <xm:f>"FULL,CONDITIONAL,PARTIAL,FUTURE DEPENDENCY"</xm:f>
          </x14:formula1>
          <xm:sqref>K4:K88</xm:sqref>
        </x14:dataValidation>
        <x14:dataValidation xr:uid="{D9925D9B-0CE7-45FB-83DE-862252E16E02}" type="list" allowBlank="0" errorStyle="stop" imeMode="noControl" operator="between" showDropDown="0" showErrorMessage="0" showInputMessage="0">
          <x14:formula1>
            <xm:f>"Intermediate,Advanced,Expert"</xm:f>
          </x14:formula1>
          <xm:sqref>L4:L88</xm:sqref>
        </x14:dataValidation>
        <x14:dataValidation xr:uid="{F78C7EC3-780B-4396-A65A-127379AC01F7}" type="list" allowBlank="0" errorStyle="stop" imeMode="noControl" operator="between" showDropDown="0" showErrorMessage="0" showInputMessage="0">
          <x14:formula1>
            <xm:f>"Not Tested,Pass,Partial,Fail"</xm:f>
          </x14:formula1>
          <xm:sqref>T4:T88</xm:sqref>
        </x14:dataValidation>
        <x14:dataValidation xr:uid="{B2878AAE-716A-4B61-A4C1-9EC37C292036}" type="whole" allowBlank="0" errorStyle="stop" imeMode="noControl" operator="between" showDropDown="0" showErrorMessage="0" showInputMessage="0">
          <x14:formula1>
            <xm:f>0</xm:f>
          </x14:formula1>
          <x14:formula2>
            <xm:f>10</xm:f>
          </x14:formula2>
          <xm:sqref>AB4:AB88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8"/>
    <col customWidth="1" min="2" max="2" width="18"/>
    <col customWidth="1" min="3" max="3" width="25"/>
    <col customWidth="1" min="4" max="4" width="40"/>
    <col customWidth="1" min="5" max="5" width="32"/>
    <col customWidth="1" min="6" max="6" width="36"/>
    <col customWidth="1" min="7" max="7" width="18"/>
    <col customWidth="1" min="8" max="8" width="25"/>
    <col customWidth="1" min="9" max="9" width="36"/>
  </cols>
  <sheetData>
    <row r="1" ht="34" customHeight="1">
      <c r="A1" s="1" t="s">
        <v>1080</v>
      </c>
      <c r="B1" s="2"/>
      <c r="C1" s="2"/>
      <c r="D1" s="2"/>
      <c r="E1" s="2"/>
      <c r="F1" s="2"/>
      <c r="G1" s="2"/>
      <c r="H1" s="2"/>
      <c r="I1" s="2"/>
    </row>
    <row r="2" ht="30" customHeight="1">
      <c r="A2" s="3" t="s">
        <v>1081</v>
      </c>
      <c r="B2" s="2"/>
      <c r="C2" s="2"/>
      <c r="D2" s="2"/>
      <c r="E2" s="2"/>
      <c r="F2" s="2"/>
      <c r="G2" s="2"/>
      <c r="H2" s="2"/>
      <c r="I2" s="2"/>
    </row>
    <row r="3" ht="32" customHeight="1">
      <c r="A3" s="7" t="s">
        <v>1082</v>
      </c>
      <c r="B3" s="8" t="s">
        <v>1083</v>
      </c>
      <c r="C3" s="8" t="s">
        <v>1084</v>
      </c>
      <c r="D3" s="8" t="s">
        <v>1085</v>
      </c>
      <c r="E3" s="8" t="s">
        <v>1086</v>
      </c>
      <c r="F3" s="8" t="s">
        <v>1087</v>
      </c>
      <c r="G3" s="8" t="s">
        <v>1088</v>
      </c>
      <c r="H3" s="8" t="s">
        <v>1089</v>
      </c>
      <c r="I3" s="9" t="s">
        <v>1090</v>
      </c>
    </row>
    <row r="4">
      <c r="A4" s="10" t="s">
        <v>121</v>
      </c>
      <c r="B4" s="10" t="s">
        <v>1091</v>
      </c>
      <c r="C4" s="10" t="s">
        <v>1092</v>
      </c>
      <c r="D4" s="10" t="s">
        <v>1093</v>
      </c>
      <c r="E4" s="10" t="s">
        <v>1094</v>
      </c>
      <c r="F4" s="10" t="s">
        <v>1095</v>
      </c>
      <c r="G4" s="10" t="s">
        <v>1096</v>
      </c>
      <c r="H4" s="10" t="s">
        <v>1097</v>
      </c>
      <c r="I4" s="10" t="s">
        <v>1098</v>
      </c>
    </row>
    <row r="5">
      <c r="A5" s="12" t="s">
        <v>1099</v>
      </c>
      <c r="B5" s="12" t="s">
        <v>1091</v>
      </c>
      <c r="C5" s="12" t="s">
        <v>1100</v>
      </c>
      <c r="D5" s="12" t="s">
        <v>1101</v>
      </c>
      <c r="E5" s="12" t="s">
        <v>1102</v>
      </c>
      <c r="F5" s="12" t="s">
        <v>1103</v>
      </c>
      <c r="G5" s="12" t="s">
        <v>1096</v>
      </c>
      <c r="H5" s="12" t="s">
        <v>1104</v>
      </c>
      <c r="I5" s="12" t="s">
        <v>1105</v>
      </c>
    </row>
    <row r="6">
      <c r="A6" s="12" t="s">
        <v>925</v>
      </c>
      <c r="B6" s="12" t="s">
        <v>1091</v>
      </c>
      <c r="C6" s="12" t="s">
        <v>1106</v>
      </c>
      <c r="D6" s="12" t="s">
        <v>1107</v>
      </c>
      <c r="E6" s="12" t="s">
        <v>1108</v>
      </c>
      <c r="F6" s="12" t="s">
        <v>1109</v>
      </c>
      <c r="G6" s="12" t="s">
        <v>1110</v>
      </c>
      <c r="H6" s="12" t="s">
        <v>920</v>
      </c>
      <c r="I6" s="12" t="s">
        <v>1111</v>
      </c>
    </row>
    <row r="7">
      <c r="A7" s="12" t="s">
        <v>926</v>
      </c>
      <c r="B7" s="12" t="s">
        <v>1091</v>
      </c>
      <c r="C7" s="12" t="s">
        <v>1112</v>
      </c>
      <c r="D7" s="12" t="s">
        <v>1113</v>
      </c>
      <c r="E7" s="12" t="s">
        <v>1114</v>
      </c>
      <c r="F7" s="12" t="s">
        <v>1115</v>
      </c>
      <c r="G7" s="12" t="s">
        <v>1116</v>
      </c>
      <c r="H7" s="12" t="s">
        <v>920</v>
      </c>
      <c r="I7" s="12" t="s">
        <v>1117</v>
      </c>
    </row>
    <row r="8">
      <c r="A8" s="12" t="s">
        <v>1118</v>
      </c>
      <c r="B8" s="12" t="s">
        <v>1091</v>
      </c>
      <c r="C8" s="12" t="s">
        <v>1119</v>
      </c>
      <c r="D8" s="12" t="s">
        <v>1120</v>
      </c>
      <c r="E8" s="12" t="s">
        <v>1121</v>
      </c>
      <c r="F8" s="12" t="s">
        <v>1122</v>
      </c>
      <c r="G8" s="12" t="s">
        <v>1123</v>
      </c>
      <c r="H8" s="12" t="s">
        <v>1124</v>
      </c>
      <c r="I8" s="12" t="s">
        <v>1125</v>
      </c>
    </row>
    <row r="9">
      <c r="A9" s="12" t="s">
        <v>1126</v>
      </c>
      <c r="B9" s="12" t="s">
        <v>1091</v>
      </c>
      <c r="C9" s="12" t="s">
        <v>1127</v>
      </c>
      <c r="D9" s="12" t="s">
        <v>1128</v>
      </c>
      <c r="E9" s="12" t="s">
        <v>1129</v>
      </c>
      <c r="F9" s="12" t="s">
        <v>1130</v>
      </c>
      <c r="G9" s="12" t="s">
        <v>1123</v>
      </c>
      <c r="H9" s="12" t="s">
        <v>1131</v>
      </c>
      <c r="I9" s="12" t="s">
        <v>1132</v>
      </c>
    </row>
    <row r="10">
      <c r="A10" s="12" t="s">
        <v>1133</v>
      </c>
      <c r="B10" s="12" t="s">
        <v>1091</v>
      </c>
      <c r="C10" s="12" t="s">
        <v>1134</v>
      </c>
      <c r="D10" s="12" t="s">
        <v>1135</v>
      </c>
      <c r="E10" s="12" t="s">
        <v>1136</v>
      </c>
      <c r="F10" s="12" t="s">
        <v>1137</v>
      </c>
      <c r="G10" s="12" t="s">
        <v>1116</v>
      </c>
      <c r="H10" s="12" t="s">
        <v>1138</v>
      </c>
      <c r="I10" s="12" t="s">
        <v>1139</v>
      </c>
    </row>
    <row r="11">
      <c r="A11" s="12" t="s">
        <v>1140</v>
      </c>
      <c r="B11" s="12" t="s">
        <v>1091</v>
      </c>
      <c r="C11" s="12" t="s">
        <v>1141</v>
      </c>
      <c r="D11" s="12" t="s">
        <v>1142</v>
      </c>
      <c r="E11" s="12" t="s">
        <v>1143</v>
      </c>
      <c r="F11" s="12" t="s">
        <v>1144</v>
      </c>
      <c r="G11" s="12" t="s">
        <v>1116</v>
      </c>
      <c r="H11" s="12" t="s">
        <v>1145</v>
      </c>
      <c r="I11" s="12" t="s">
        <v>1146</v>
      </c>
    </row>
    <row r="12">
      <c r="A12" s="12" t="s">
        <v>1147</v>
      </c>
      <c r="B12" s="12" t="s">
        <v>1091</v>
      </c>
      <c r="C12" s="12" t="s">
        <v>1148</v>
      </c>
      <c r="D12" s="12" t="s">
        <v>1149</v>
      </c>
      <c r="E12" s="12" t="s">
        <v>1150</v>
      </c>
      <c r="F12" s="12" t="s">
        <v>1151</v>
      </c>
      <c r="G12" s="12" t="s">
        <v>1123</v>
      </c>
      <c r="H12" s="12" t="s">
        <v>1152</v>
      </c>
      <c r="I12" s="12" t="s">
        <v>1153</v>
      </c>
    </row>
    <row r="13">
      <c r="A13" s="12" t="s">
        <v>1154</v>
      </c>
      <c r="B13" s="12" t="s">
        <v>1091</v>
      </c>
      <c r="C13" s="12" t="s">
        <v>1155</v>
      </c>
      <c r="D13" s="12" t="s">
        <v>1156</v>
      </c>
      <c r="E13" s="12" t="s">
        <v>1150</v>
      </c>
      <c r="F13" s="12" t="s">
        <v>1157</v>
      </c>
      <c r="G13" s="12" t="s">
        <v>1116</v>
      </c>
      <c r="H13" s="12" t="s">
        <v>144</v>
      </c>
      <c r="I13" s="12" t="s">
        <v>1158</v>
      </c>
    </row>
    <row r="14">
      <c r="A14" s="12" t="s">
        <v>1159</v>
      </c>
      <c r="B14" s="12" t="s">
        <v>1091</v>
      </c>
      <c r="C14" s="12" t="s">
        <v>1160</v>
      </c>
      <c r="D14" s="12" t="s">
        <v>1161</v>
      </c>
      <c r="E14" s="12" t="s">
        <v>1162</v>
      </c>
      <c r="F14" s="12" t="s">
        <v>1163</v>
      </c>
      <c r="G14" s="12" t="s">
        <v>1123</v>
      </c>
      <c r="H14" s="12" t="s">
        <v>1164</v>
      </c>
      <c r="I14" s="12" t="s">
        <v>1165</v>
      </c>
    </row>
    <row r="15">
      <c r="A15" s="12" t="s">
        <v>1166</v>
      </c>
      <c r="B15" s="12" t="s">
        <v>1091</v>
      </c>
      <c r="C15" s="12" t="s">
        <v>1167</v>
      </c>
      <c r="D15" s="12" t="s">
        <v>1168</v>
      </c>
      <c r="E15" s="12" t="s">
        <v>1169</v>
      </c>
      <c r="F15" s="12" t="s">
        <v>1170</v>
      </c>
      <c r="G15" s="12" t="s">
        <v>1116</v>
      </c>
      <c r="H15" s="12" t="s">
        <v>1171</v>
      </c>
      <c r="I15" s="12" t="s">
        <v>1172</v>
      </c>
    </row>
    <row r="16">
      <c r="A16" s="12" t="s">
        <v>1173</v>
      </c>
      <c r="B16" s="12" t="s">
        <v>1091</v>
      </c>
      <c r="C16" s="12" t="s">
        <v>1174</v>
      </c>
      <c r="D16" s="12" t="s">
        <v>1175</v>
      </c>
      <c r="E16" s="12" t="s">
        <v>1176</v>
      </c>
      <c r="F16" s="12" t="s">
        <v>1177</v>
      </c>
      <c r="G16" s="12" t="s">
        <v>1116</v>
      </c>
      <c r="H16" s="12" t="s">
        <v>1178</v>
      </c>
      <c r="I16" s="12" t="s">
        <v>1179</v>
      </c>
    </row>
    <row r="17">
      <c r="A17" s="12" t="s">
        <v>1180</v>
      </c>
      <c r="B17" s="12" t="s">
        <v>1091</v>
      </c>
      <c r="C17" s="12" t="s">
        <v>1181</v>
      </c>
      <c r="D17" s="12" t="s">
        <v>1182</v>
      </c>
      <c r="E17" s="12" t="s">
        <v>1114</v>
      </c>
      <c r="F17" s="12" t="s">
        <v>1183</v>
      </c>
      <c r="G17" s="12" t="s">
        <v>1110</v>
      </c>
      <c r="H17" s="12" t="s">
        <v>1184</v>
      </c>
      <c r="I17" s="12" t="s">
        <v>1185</v>
      </c>
    </row>
    <row r="18">
      <c r="A18" s="12" t="s">
        <v>1186</v>
      </c>
      <c r="B18" s="12" t="s">
        <v>1091</v>
      </c>
      <c r="C18" s="12" t="s">
        <v>1187</v>
      </c>
      <c r="D18" s="12" t="s">
        <v>1188</v>
      </c>
      <c r="E18" s="12" t="s">
        <v>1114</v>
      </c>
      <c r="F18" s="12" t="s">
        <v>1189</v>
      </c>
      <c r="G18" s="12" t="s">
        <v>1110</v>
      </c>
      <c r="H18" s="12" t="s">
        <v>885</v>
      </c>
      <c r="I18" s="12" t="s">
        <v>1190</v>
      </c>
    </row>
    <row r="19">
      <c r="A19" s="12" t="s">
        <v>1191</v>
      </c>
      <c r="B19" s="12" t="s">
        <v>1192</v>
      </c>
      <c r="C19" s="12" t="s">
        <v>1193</v>
      </c>
      <c r="D19" s="12" t="s">
        <v>1194</v>
      </c>
      <c r="E19" s="12" t="s">
        <v>1195</v>
      </c>
      <c r="F19" s="12" t="s">
        <v>1196</v>
      </c>
      <c r="G19" s="12" t="s">
        <v>451</v>
      </c>
      <c r="H19" s="12" t="s">
        <v>1197</v>
      </c>
      <c r="I19" s="12" t="s">
        <v>1198</v>
      </c>
    </row>
    <row r="20">
      <c r="A20" s="12" t="s">
        <v>1199</v>
      </c>
      <c r="B20" s="12" t="s">
        <v>1192</v>
      </c>
      <c r="C20" s="12" t="s">
        <v>1200</v>
      </c>
      <c r="D20" s="12" t="s">
        <v>1201</v>
      </c>
      <c r="E20" s="12" t="s">
        <v>1202</v>
      </c>
      <c r="F20" s="12" t="s">
        <v>1203</v>
      </c>
      <c r="G20" s="12" t="s">
        <v>451</v>
      </c>
      <c r="H20" s="12" t="s">
        <v>1204</v>
      </c>
      <c r="I20" s="12" t="s">
        <v>1205</v>
      </c>
    </row>
    <row r="21">
      <c r="A21" s="12" t="s">
        <v>1206</v>
      </c>
      <c r="B21" s="12" t="s">
        <v>1192</v>
      </c>
      <c r="C21" s="12" t="s">
        <v>1207</v>
      </c>
      <c r="D21" s="12" t="s">
        <v>1208</v>
      </c>
      <c r="E21" s="12" t="s">
        <v>1209</v>
      </c>
      <c r="F21" s="12" t="s">
        <v>1210</v>
      </c>
      <c r="G21" s="12" t="s">
        <v>451</v>
      </c>
      <c r="H21" s="12" t="s">
        <v>1211</v>
      </c>
      <c r="I21" s="12" t="s">
        <v>1212</v>
      </c>
    </row>
    <row r="22">
      <c r="A22" s="12" t="s">
        <v>1213</v>
      </c>
      <c r="B22" s="12" t="s">
        <v>1214</v>
      </c>
      <c r="C22" s="12" t="s">
        <v>1215</v>
      </c>
      <c r="D22" s="12" t="s">
        <v>1216</v>
      </c>
      <c r="E22" s="12" t="s">
        <v>1217</v>
      </c>
      <c r="F22" s="12" t="s">
        <v>1218</v>
      </c>
      <c r="G22" s="12" t="s">
        <v>451</v>
      </c>
      <c r="H22" s="12" t="s">
        <v>960</v>
      </c>
      <c r="I22" s="12" t="s">
        <v>1219</v>
      </c>
    </row>
    <row r="23">
      <c r="A23" s="12" t="s">
        <v>1220</v>
      </c>
      <c r="B23" s="12" t="s">
        <v>1214</v>
      </c>
      <c r="C23" s="12" t="s">
        <v>1221</v>
      </c>
      <c r="D23" s="12" t="s">
        <v>1222</v>
      </c>
      <c r="E23" s="12" t="s">
        <v>1223</v>
      </c>
      <c r="F23" s="12" t="s">
        <v>1224</v>
      </c>
      <c r="G23" s="12" t="s">
        <v>451</v>
      </c>
      <c r="H23" s="12" t="s">
        <v>1225</v>
      </c>
      <c r="I23" s="12" t="s">
        <v>1226</v>
      </c>
    </row>
    <row r="24">
      <c r="A24" s="14" t="s">
        <v>1227</v>
      </c>
      <c r="B24" s="14" t="s">
        <v>1192</v>
      </c>
      <c r="C24" s="14" t="s">
        <v>1228</v>
      </c>
      <c r="D24" s="14" t="s">
        <v>1229</v>
      </c>
      <c r="E24" s="14" t="s">
        <v>1230</v>
      </c>
      <c r="F24" s="14" t="s">
        <v>1231</v>
      </c>
      <c r="G24" s="14" t="s">
        <v>451</v>
      </c>
      <c r="H24" s="14" t="s">
        <v>933</v>
      </c>
      <c r="I24" s="14" t="s">
        <v>1232</v>
      </c>
    </row>
  </sheetData>
  <mergeCells count="2">
    <mergeCell ref="A1:I1"/>
    <mergeCell ref="A2:I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AVAILABLE" id="{CBA0196B-D781-4A40-9BDB-3AA947D6E730}">
            <x14:dxf>
              <font>
                <b/>
                <color rgb="FF176B34"/>
              </font>
              <fill>
                <patternFill patternType="solid">
                  <fgColor rgb="FFDFF3E4"/>
                  <bgColor rgb="FFDFF3E4"/>
                </patternFill>
              </fill>
            </x14:dxf>
          </x14:cfRule>
          <xm:sqref>B4:B24</xm:sqref>
        </x14:conditionalFormatting>
        <x14:conditionalFormatting xmlns:xm="http://schemas.microsoft.com/office/excel/2006/main">
          <x14:cfRule type="containsText" priority="2" operator="containsText" text="NOT YET" id="{28ACFF8A-AA74-44CA-A599-D3BDE3660C03}">
            <x14:dxf>
              <font>
                <b/>
                <color rgb="FF5B2C83"/>
              </font>
              <fill>
                <patternFill patternType="solid">
                  <fgColor rgb="FFEAE2F8"/>
                  <bgColor rgb="FFEAE2F8"/>
                </patternFill>
              </fill>
            </x14:dxf>
          </x14:cfRule>
          <xm:sqref>B4:B24</xm:sqref>
        </x14:conditionalFormatting>
        <x14:conditionalFormatting xmlns:xm="http://schemas.microsoft.com/office/excel/2006/main">
          <x14:cfRule type="containsText" priority="3" operator="containsText" text="CLOUD" id="{34EB181A-DB3A-44F3-A8D4-FB127815853A}">
            <x14:dxf>
              <font>
                <b/>
                <color rgb="FF8A5B00"/>
              </font>
              <fill>
                <patternFill patternType="solid">
                  <fgColor rgb="FFFFF0C2"/>
                  <bgColor rgb="FFFFF0C2"/>
                </patternFill>
              </fill>
            </x14:dxf>
          </x14:cfRule>
          <xm:sqref>B4:B24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2"/>
    <col customWidth="1" min="2" max="2" width="34"/>
    <col customWidth="1" min="3" max="3" width="48"/>
    <col customWidth="1" min="4" max="4" width="34"/>
    <col customWidth="1" min="5" max="5" width="28"/>
    <col customWidth="1" min="6" max="6" width="44"/>
    <col customWidth="1" min="7" max="7" width="14"/>
    <col customWidth="1" min="8" max="8" width="42"/>
  </cols>
  <sheetData>
    <row r="1" ht="34" customHeight="1">
      <c r="A1" s="1" t="s">
        <v>1233</v>
      </c>
      <c r="B1" s="2"/>
      <c r="C1" s="2"/>
      <c r="D1" s="2"/>
      <c r="E1" s="2"/>
      <c r="F1" s="2"/>
      <c r="G1" s="2"/>
      <c r="H1" s="2"/>
    </row>
    <row r="2" ht="30" customHeight="1">
      <c r="A2" s="3" t="s">
        <v>1234</v>
      </c>
      <c r="B2" s="2"/>
      <c r="C2" s="2"/>
      <c r="D2" s="2"/>
      <c r="E2" s="2"/>
      <c r="F2" s="2"/>
      <c r="G2" s="2"/>
      <c r="H2" s="2"/>
    </row>
    <row r="3" ht="32" customHeight="1">
      <c r="A3" s="7" t="s">
        <v>1235</v>
      </c>
      <c r="B3" s="8" t="s">
        <v>1236</v>
      </c>
      <c r="C3" s="8" t="s">
        <v>1237</v>
      </c>
      <c r="D3" s="8" t="s">
        <v>1238</v>
      </c>
      <c r="E3" s="8" t="s">
        <v>1239</v>
      </c>
      <c r="F3" s="8" t="s">
        <v>1240</v>
      </c>
      <c r="G3" s="8" t="s">
        <v>1241</v>
      </c>
      <c r="H3" s="9" t="s">
        <v>1242</v>
      </c>
    </row>
    <row r="4">
      <c r="A4" s="10" t="s">
        <v>1243</v>
      </c>
      <c r="B4" s="10" t="s">
        <v>1244</v>
      </c>
      <c r="C4" s="10" t="s">
        <v>1245</v>
      </c>
      <c r="D4" s="10" t="s">
        <v>1246</v>
      </c>
      <c r="E4" s="10" t="s">
        <v>1247</v>
      </c>
      <c r="F4" s="10" t="s">
        <v>1248</v>
      </c>
      <c r="G4" s="10" t="s">
        <v>1249</v>
      </c>
      <c r="H4" s="10" t="s">
        <v>1250</v>
      </c>
    </row>
    <row r="5">
      <c r="A5" s="12" t="s">
        <v>1251</v>
      </c>
      <c r="B5" s="12" t="s">
        <v>1252</v>
      </c>
      <c r="C5" s="12" t="s">
        <v>1253</v>
      </c>
      <c r="D5" s="12" t="s">
        <v>1254</v>
      </c>
      <c r="E5" s="12" t="s">
        <v>1255</v>
      </c>
      <c r="F5" s="12" t="s">
        <v>1256</v>
      </c>
      <c r="G5" s="12" t="s">
        <v>1257</v>
      </c>
      <c r="H5" s="12" t="s">
        <v>1258</v>
      </c>
    </row>
    <row r="6">
      <c r="A6" s="12" t="s">
        <v>1259</v>
      </c>
      <c r="B6" s="12" t="s">
        <v>1260</v>
      </c>
      <c r="C6" s="12" t="s">
        <v>1261</v>
      </c>
      <c r="D6" s="12" t="s">
        <v>1262</v>
      </c>
      <c r="E6" s="12" t="s">
        <v>1263</v>
      </c>
      <c r="F6" s="12" t="s">
        <v>1264</v>
      </c>
      <c r="G6" s="12" t="s">
        <v>1265</v>
      </c>
      <c r="H6" s="12" t="s">
        <v>1266</v>
      </c>
    </row>
    <row r="7">
      <c r="A7" s="12" t="s">
        <v>1267</v>
      </c>
      <c r="B7" s="12" t="s">
        <v>1268</v>
      </c>
      <c r="C7" s="12" t="s">
        <v>1269</v>
      </c>
      <c r="D7" s="12" t="s">
        <v>1270</v>
      </c>
      <c r="E7" s="12" t="s">
        <v>1271</v>
      </c>
      <c r="F7" s="12" t="s">
        <v>1272</v>
      </c>
      <c r="G7" s="12" t="s">
        <v>1273</v>
      </c>
      <c r="H7" s="12" t="s">
        <v>1274</v>
      </c>
    </row>
    <row r="8">
      <c r="A8" s="12" t="s">
        <v>1275</v>
      </c>
      <c r="B8" s="12" t="s">
        <v>1276</v>
      </c>
      <c r="C8" s="12" t="s">
        <v>1277</v>
      </c>
      <c r="D8" s="12" t="s">
        <v>1278</v>
      </c>
      <c r="E8" s="12" t="s">
        <v>1279</v>
      </c>
      <c r="F8" s="12" t="s">
        <v>1280</v>
      </c>
      <c r="G8" s="12" t="s">
        <v>1281</v>
      </c>
      <c r="H8" s="12" t="s">
        <v>1282</v>
      </c>
    </row>
    <row r="9">
      <c r="A9" s="12" t="s">
        <v>1283</v>
      </c>
      <c r="B9" s="12" t="s">
        <v>1284</v>
      </c>
      <c r="C9" s="12" t="s">
        <v>1285</v>
      </c>
      <c r="D9" s="12" t="s">
        <v>1286</v>
      </c>
      <c r="E9" s="12" t="s">
        <v>1287</v>
      </c>
      <c r="F9" s="12" t="s">
        <v>1288</v>
      </c>
      <c r="G9" s="12" t="s">
        <v>1289</v>
      </c>
      <c r="H9" s="12" t="s">
        <v>1290</v>
      </c>
    </row>
    <row r="10">
      <c r="A10" s="12" t="s">
        <v>1291</v>
      </c>
      <c r="B10" s="12" t="s">
        <v>1292</v>
      </c>
      <c r="C10" s="12" t="s">
        <v>1293</v>
      </c>
      <c r="D10" s="12" t="s">
        <v>1294</v>
      </c>
      <c r="E10" s="12" t="s">
        <v>1287</v>
      </c>
      <c r="F10" s="12" t="s">
        <v>1295</v>
      </c>
      <c r="G10" s="12" t="s">
        <v>1296</v>
      </c>
      <c r="H10" s="12" t="s">
        <v>1297</v>
      </c>
    </row>
    <row r="11">
      <c r="A11" s="14" t="s">
        <v>1298</v>
      </c>
      <c r="B11" s="14" t="s">
        <v>1299</v>
      </c>
      <c r="C11" s="14" t="s">
        <v>1300</v>
      </c>
      <c r="D11" s="14" t="s">
        <v>1301</v>
      </c>
      <c r="E11" s="14" t="s">
        <v>1302</v>
      </c>
      <c r="F11" s="14" t="s">
        <v>1303</v>
      </c>
      <c r="G11" s="14" t="s">
        <v>1304</v>
      </c>
      <c r="H11" s="14" t="s">
        <v>1305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 ht="32" customHeight="1">
      <c r="A14" s="7" t="s">
        <v>1306</v>
      </c>
      <c r="B14" s="8" t="s">
        <v>1307</v>
      </c>
      <c r="C14" s="8" t="s">
        <v>1308</v>
      </c>
      <c r="D14" s="9" t="s">
        <v>1309</v>
      </c>
      <c r="E14" s="2"/>
      <c r="F14" s="2"/>
      <c r="G14" s="2"/>
      <c r="H14" s="2"/>
    </row>
    <row r="15">
      <c r="A15" s="10">
        <v>1</v>
      </c>
      <c r="B15" s="10" t="s">
        <v>1310</v>
      </c>
      <c r="C15" s="10" t="s">
        <v>1311</v>
      </c>
      <c r="D15" s="10" t="s">
        <v>1312</v>
      </c>
      <c r="E15" s="2"/>
      <c r="F15" s="2"/>
      <c r="G15" s="2"/>
      <c r="H15" s="2"/>
    </row>
    <row r="16">
      <c r="A16" s="12">
        <v>2</v>
      </c>
      <c r="B16" s="12" t="s">
        <v>1313</v>
      </c>
      <c r="C16" s="12" t="s">
        <v>1314</v>
      </c>
      <c r="D16" s="12" t="s">
        <v>1312</v>
      </c>
      <c r="E16" s="2"/>
      <c r="F16" s="2"/>
      <c r="G16" s="2"/>
      <c r="H16" s="2"/>
    </row>
    <row r="17">
      <c r="A17" s="12">
        <v>3</v>
      </c>
      <c r="B17" s="12" t="s">
        <v>1315</v>
      </c>
      <c r="C17" s="12" t="s">
        <v>1316</v>
      </c>
      <c r="D17" s="12" t="s">
        <v>1312</v>
      </c>
      <c r="E17" s="2"/>
      <c r="F17" s="2"/>
      <c r="G17" s="2"/>
      <c r="H17" s="2"/>
    </row>
    <row r="18">
      <c r="A18" s="12">
        <v>4</v>
      </c>
      <c r="B18" s="12" t="s">
        <v>1317</v>
      </c>
      <c r="C18" s="12" t="s">
        <v>1318</v>
      </c>
      <c r="D18" s="12" t="s">
        <v>1312</v>
      </c>
      <c r="E18" s="2"/>
      <c r="F18" s="2"/>
      <c r="G18" s="2"/>
      <c r="H18" s="2"/>
    </row>
    <row r="19">
      <c r="A19" s="12">
        <v>5</v>
      </c>
      <c r="B19" s="12" t="s">
        <v>1319</v>
      </c>
      <c r="C19" s="12" t="s">
        <v>1320</v>
      </c>
      <c r="D19" s="12" t="s">
        <v>1312</v>
      </c>
      <c r="E19" s="2"/>
      <c r="F19" s="2"/>
      <c r="G19" s="2"/>
      <c r="H19" s="2"/>
    </row>
    <row r="20">
      <c r="A20" s="12">
        <v>6</v>
      </c>
      <c r="B20" s="12" t="s">
        <v>1321</v>
      </c>
      <c r="C20" s="12" t="s">
        <v>1322</v>
      </c>
      <c r="D20" s="12" t="s">
        <v>1323</v>
      </c>
      <c r="E20" s="2"/>
      <c r="F20" s="2"/>
      <c r="G20" s="2"/>
      <c r="H20" s="2"/>
    </row>
    <row r="21">
      <c r="A21" s="29">
        <v>7</v>
      </c>
      <c r="B21" s="29" t="s">
        <v>1324</v>
      </c>
      <c r="C21" s="29" t="s">
        <v>1325</v>
      </c>
      <c r="D21" s="29" t="s">
        <v>1326</v>
      </c>
      <c r="E21" s="2"/>
      <c r="F21" s="2"/>
      <c r="G21" s="2"/>
      <c r="H21" s="2"/>
    </row>
    <row r="22">
      <c r="A22" s="29">
        <v>8</v>
      </c>
      <c r="B22" s="29" t="s">
        <v>1327</v>
      </c>
      <c r="C22" s="29" t="s">
        <v>1328</v>
      </c>
      <c r="D22" s="29" t="s">
        <v>1329</v>
      </c>
      <c r="E22" s="2"/>
      <c r="F22" s="2"/>
      <c r="G22" s="2"/>
      <c r="H22" s="2"/>
    </row>
    <row r="23">
      <c r="A23" s="29">
        <v>9</v>
      </c>
      <c r="B23" s="29" t="s">
        <v>1330</v>
      </c>
      <c r="C23" s="29" t="s">
        <v>1331</v>
      </c>
      <c r="D23" s="29" t="s">
        <v>225</v>
      </c>
      <c r="E23" s="2"/>
      <c r="F23" s="2"/>
      <c r="G23" s="2"/>
      <c r="H23" s="2"/>
    </row>
    <row r="24">
      <c r="A24" s="30">
        <v>10</v>
      </c>
      <c r="B24" s="30" t="s">
        <v>1332</v>
      </c>
      <c r="C24" s="30" t="s">
        <v>1333</v>
      </c>
      <c r="D24" s="30" t="s">
        <v>1334</v>
      </c>
      <c r="E24" s="2"/>
      <c r="F24" s="2"/>
      <c r="G24" s="2"/>
      <c r="H24" s="2"/>
    </row>
  </sheetData>
  <mergeCells count="2">
    <mergeCell ref="A1:H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8"/>
    <col customWidth="1" min="3" max="3" width="48"/>
    <col customWidth="1" min="4" max="4" width="42"/>
    <col customWidth="1" min="5" max="5" width="15"/>
    <col customWidth="1" min="6" max="6" width="46"/>
    <col customWidth="1" min="7" max="7" width="48"/>
    <col customWidth="1" min="8" max="8" width="24"/>
    <col customWidth="1" min="9" max="9" width="16"/>
    <col customWidth="1" min="10" max="10" width="42"/>
  </cols>
  <sheetData>
    <row r="1" ht="34" customHeight="1">
      <c r="A1" s="1" t="s">
        <v>1335</v>
      </c>
      <c r="B1" s="2"/>
      <c r="C1" s="2"/>
      <c r="D1" s="2"/>
      <c r="E1" s="2"/>
      <c r="F1" s="2"/>
      <c r="G1" s="2"/>
      <c r="H1" s="2"/>
      <c r="I1" s="2"/>
      <c r="J1" s="2"/>
    </row>
    <row r="2" ht="30" customHeight="1">
      <c r="A2" s="3" t="s">
        <v>1336</v>
      </c>
      <c r="B2" s="2"/>
      <c r="C2" s="2"/>
      <c r="D2" s="2"/>
      <c r="E2" s="2"/>
      <c r="F2" s="2"/>
      <c r="G2" s="2"/>
      <c r="H2" s="2"/>
      <c r="I2" s="2"/>
      <c r="J2" s="2"/>
    </row>
    <row r="3" ht="32" customHeight="1">
      <c r="A3" s="7" t="s">
        <v>1337</v>
      </c>
      <c r="B3" s="8" t="s">
        <v>99</v>
      </c>
      <c r="C3" s="8" t="s">
        <v>1338</v>
      </c>
      <c r="D3" s="8" t="s">
        <v>1339</v>
      </c>
      <c r="E3" s="8" t="s">
        <v>1340</v>
      </c>
      <c r="F3" s="8" t="s">
        <v>1341</v>
      </c>
      <c r="G3" s="8" t="s">
        <v>1342</v>
      </c>
      <c r="H3" s="8" t="s">
        <v>1343</v>
      </c>
      <c r="I3" s="8" t="s">
        <v>100</v>
      </c>
      <c r="J3" s="9" t="s">
        <v>1344</v>
      </c>
    </row>
    <row r="4">
      <c r="A4" s="10" t="s">
        <v>1345</v>
      </c>
      <c r="B4" s="10" t="s">
        <v>1346</v>
      </c>
      <c r="C4" s="10" t="s">
        <v>1347</v>
      </c>
      <c r="D4" s="10" t="s">
        <v>1348</v>
      </c>
      <c r="E4" s="10">
        <v>75</v>
      </c>
      <c r="F4" s="10" t="s">
        <v>1349</v>
      </c>
      <c r="G4" s="10" t="s">
        <v>1350</v>
      </c>
      <c r="H4" s="10" t="s">
        <v>1351</v>
      </c>
      <c r="I4" s="10" t="s">
        <v>126</v>
      </c>
      <c r="J4" s="10"/>
    </row>
    <row r="5">
      <c r="A5" s="12" t="s">
        <v>1352</v>
      </c>
      <c r="B5" s="12" t="s">
        <v>1353</v>
      </c>
      <c r="C5" s="12" t="s">
        <v>1354</v>
      </c>
      <c r="D5" s="12" t="s">
        <v>1355</v>
      </c>
      <c r="E5" s="12">
        <v>75</v>
      </c>
      <c r="F5" s="12" t="s">
        <v>1356</v>
      </c>
      <c r="G5" s="12" t="s">
        <v>1357</v>
      </c>
      <c r="H5" s="12" t="s">
        <v>1312</v>
      </c>
      <c r="I5" s="12" t="s">
        <v>126</v>
      </c>
      <c r="J5" s="12"/>
    </row>
    <row r="6">
      <c r="A6" s="12" t="s">
        <v>1358</v>
      </c>
      <c r="B6" s="12" t="s">
        <v>1359</v>
      </c>
      <c r="C6" s="12" t="s">
        <v>1360</v>
      </c>
      <c r="D6" s="12" t="s">
        <v>1361</v>
      </c>
      <c r="E6" s="12">
        <v>75</v>
      </c>
      <c r="F6" s="12" t="s">
        <v>1362</v>
      </c>
      <c r="G6" s="12" t="s">
        <v>1363</v>
      </c>
      <c r="H6" s="12" t="s">
        <v>1364</v>
      </c>
      <c r="I6" s="12" t="s">
        <v>126</v>
      </c>
      <c r="J6" s="12"/>
    </row>
    <row r="7">
      <c r="A7" s="12" t="s">
        <v>1365</v>
      </c>
      <c r="B7" s="12" t="s">
        <v>1366</v>
      </c>
      <c r="C7" s="12" t="s">
        <v>1367</v>
      </c>
      <c r="D7" s="12" t="s">
        <v>1368</v>
      </c>
      <c r="E7" s="12">
        <v>90</v>
      </c>
      <c r="F7" s="12" t="s">
        <v>1369</v>
      </c>
      <c r="G7" s="12" t="s">
        <v>1370</v>
      </c>
      <c r="H7" s="12" t="s">
        <v>1312</v>
      </c>
      <c r="I7" s="12" t="s">
        <v>126</v>
      </c>
      <c r="J7" s="12"/>
    </row>
    <row r="8">
      <c r="A8" s="12" t="s">
        <v>1371</v>
      </c>
      <c r="B8" s="12" t="s">
        <v>1372</v>
      </c>
      <c r="C8" s="12" t="s">
        <v>1373</v>
      </c>
      <c r="D8" s="12" t="s">
        <v>1374</v>
      </c>
      <c r="E8" s="12">
        <v>90</v>
      </c>
      <c r="F8" s="12" t="s">
        <v>1375</v>
      </c>
      <c r="G8" s="12" t="s">
        <v>1376</v>
      </c>
      <c r="H8" s="12" t="s">
        <v>1312</v>
      </c>
      <c r="I8" s="12" t="s">
        <v>126</v>
      </c>
      <c r="J8" s="12"/>
    </row>
    <row r="9">
      <c r="A9" s="12" t="s">
        <v>1377</v>
      </c>
      <c r="B9" s="12" t="s">
        <v>1378</v>
      </c>
      <c r="C9" s="12" t="s">
        <v>1379</v>
      </c>
      <c r="D9" s="12" t="s">
        <v>1380</v>
      </c>
      <c r="E9" s="12">
        <v>90</v>
      </c>
      <c r="F9" s="12" t="s">
        <v>1381</v>
      </c>
      <c r="G9" s="12" t="s">
        <v>1382</v>
      </c>
      <c r="H9" s="12" t="s">
        <v>1383</v>
      </c>
      <c r="I9" s="12" t="s">
        <v>126</v>
      </c>
      <c r="J9" s="12"/>
    </row>
    <row r="10">
      <c r="A10" s="12" t="s">
        <v>1384</v>
      </c>
      <c r="B10" s="12" t="s">
        <v>1385</v>
      </c>
      <c r="C10" s="12" t="s">
        <v>1386</v>
      </c>
      <c r="D10" s="12" t="s">
        <v>1387</v>
      </c>
      <c r="E10" s="12">
        <v>105</v>
      </c>
      <c r="F10" s="12" t="s">
        <v>1388</v>
      </c>
      <c r="G10" s="12" t="s">
        <v>1389</v>
      </c>
      <c r="H10" s="12" t="s">
        <v>1312</v>
      </c>
      <c r="I10" s="12" t="s">
        <v>126</v>
      </c>
      <c r="J10" s="12"/>
    </row>
    <row r="11">
      <c r="A11" s="12" t="s">
        <v>1390</v>
      </c>
      <c r="B11" s="12" t="s">
        <v>1391</v>
      </c>
      <c r="C11" s="12" t="s">
        <v>1392</v>
      </c>
      <c r="D11" s="12" t="s">
        <v>1393</v>
      </c>
      <c r="E11" s="12">
        <v>90</v>
      </c>
      <c r="F11" s="12" t="s">
        <v>1394</v>
      </c>
      <c r="G11" s="12" t="s">
        <v>1395</v>
      </c>
      <c r="H11" s="12" t="s">
        <v>1312</v>
      </c>
      <c r="I11" s="12" t="s">
        <v>126</v>
      </c>
      <c r="J11" s="12"/>
    </row>
    <row r="12">
      <c r="A12" s="12" t="s">
        <v>1396</v>
      </c>
      <c r="B12" s="12" t="s">
        <v>1397</v>
      </c>
      <c r="C12" s="12" t="s">
        <v>1398</v>
      </c>
      <c r="D12" s="12" t="s">
        <v>1399</v>
      </c>
      <c r="E12" s="12">
        <v>105</v>
      </c>
      <c r="F12" s="12" t="s">
        <v>1400</v>
      </c>
      <c r="G12" s="12" t="s">
        <v>1401</v>
      </c>
      <c r="H12" s="12" t="s">
        <v>1312</v>
      </c>
      <c r="I12" s="12" t="s">
        <v>126</v>
      </c>
      <c r="J12" s="12"/>
    </row>
    <row r="13">
      <c r="A13" s="12" t="s">
        <v>1402</v>
      </c>
      <c r="B13" s="12" t="s">
        <v>1403</v>
      </c>
      <c r="C13" s="12" t="s">
        <v>1404</v>
      </c>
      <c r="D13" s="12" t="s">
        <v>1405</v>
      </c>
      <c r="E13" s="12">
        <v>90</v>
      </c>
      <c r="F13" s="12" t="s">
        <v>1406</v>
      </c>
      <c r="G13" s="12" t="s">
        <v>1407</v>
      </c>
      <c r="H13" s="12" t="s">
        <v>1312</v>
      </c>
      <c r="I13" s="12" t="s">
        <v>126</v>
      </c>
      <c r="J13" s="12"/>
    </row>
    <row r="14">
      <c r="A14" s="12" t="s">
        <v>1408</v>
      </c>
      <c r="B14" s="12" t="s">
        <v>973</v>
      </c>
      <c r="C14" s="12" t="s">
        <v>1409</v>
      </c>
      <c r="D14" s="12" t="s">
        <v>1410</v>
      </c>
      <c r="E14" s="12">
        <v>120</v>
      </c>
      <c r="F14" s="12" t="s">
        <v>1411</v>
      </c>
      <c r="G14" s="12" t="s">
        <v>1412</v>
      </c>
      <c r="H14" s="12" t="s">
        <v>1413</v>
      </c>
      <c r="I14" s="12" t="s">
        <v>126</v>
      </c>
      <c r="J14" s="12"/>
    </row>
    <row r="15">
      <c r="A15" s="14" t="s">
        <v>1414</v>
      </c>
      <c r="B15" s="14" t="s">
        <v>1415</v>
      </c>
      <c r="C15" s="14" t="s">
        <v>1416</v>
      </c>
      <c r="D15" s="14" t="s">
        <v>1417</v>
      </c>
      <c r="E15" s="14">
        <v>180</v>
      </c>
      <c r="F15" s="14" t="s">
        <v>1418</v>
      </c>
      <c r="G15" s="14" t="s">
        <v>1419</v>
      </c>
      <c r="H15" s="14" t="s">
        <v>1420</v>
      </c>
      <c r="I15" s="14" t="s">
        <v>126</v>
      </c>
      <c r="J15" s="14"/>
    </row>
  </sheetData>
  <mergeCells count="2">
    <mergeCell ref="A1:J1"/>
    <mergeCell ref="A2:J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Completed" id="{D981AFB3-51B6-4276-9224-D62644B48F25}">
            <x14:dxf>
              <font>
                <b/>
                <color rgb="FF176B34"/>
              </font>
              <fill>
                <patternFill patternType="solid">
                  <fgColor rgb="FFDFF3E4"/>
                  <bgColor rgb="FFDFF3E4"/>
                </patternFill>
              </fill>
            </x14:dxf>
          </x14:cfRule>
          <xm:sqref>I4:I15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B470BB3-DCD3-4DA3-A565-2E77B18D47C7}" type="list" allowBlank="0" errorStyle="stop" imeMode="noControl" operator="between" showDropDown="0" showErrorMessage="0" showInputMessage="0">
          <x14:formula1>
            <xm:f>"Not Started,In Progress,Completed,Review Needed,Blocked"</xm:f>
          </x14:formula1>
          <xm:sqref>I4:I15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1"/>
    <col customWidth="1" min="2" max="2" width="70"/>
    <col customWidth="1" min="3" max="3" width="90"/>
    <col customWidth="1" min="4" max="4" width="25"/>
    <col customWidth="1" min="5" max="5" width="70"/>
    <col customWidth="1" min="6" max="6" width="10"/>
  </cols>
  <sheetData>
    <row r="1" ht="34" customHeight="1">
      <c r="A1" s="1" t="s">
        <v>1421</v>
      </c>
      <c r="B1" s="2"/>
      <c r="C1" s="2"/>
      <c r="D1" s="2"/>
      <c r="E1" s="2"/>
    </row>
    <row r="2" ht="30" customHeight="1">
      <c r="A2" s="3" t="s">
        <v>1422</v>
      </c>
      <c r="B2" s="2"/>
      <c r="C2" s="2"/>
      <c r="D2" s="2"/>
      <c r="E2" s="2"/>
    </row>
    <row r="3" ht="32" customHeight="1">
      <c r="A3" s="7" t="s">
        <v>100</v>
      </c>
      <c r="B3" s="9" t="s">
        <v>1308</v>
      </c>
      <c r="C3" s="2"/>
      <c r="D3" s="7" t="s">
        <v>96</v>
      </c>
      <c r="E3" s="9" t="s">
        <v>1308</v>
      </c>
    </row>
    <row r="4">
      <c r="A4" s="10" t="s">
        <v>126</v>
      </c>
      <c r="B4" s="10" t="s">
        <v>1423</v>
      </c>
      <c r="C4" s="2"/>
      <c r="D4" s="10" t="s">
        <v>124</v>
      </c>
      <c r="E4" s="10" t="s">
        <v>1424</v>
      </c>
    </row>
    <row r="5">
      <c r="A5" s="12" t="s">
        <v>1425</v>
      </c>
      <c r="B5" s="12" t="s">
        <v>1426</v>
      </c>
      <c r="C5" s="2"/>
      <c r="D5" s="12" t="s">
        <v>173</v>
      </c>
      <c r="E5" s="12" t="s">
        <v>1427</v>
      </c>
    </row>
    <row r="6">
      <c r="A6" s="12" t="s">
        <v>8</v>
      </c>
      <c r="B6" s="12" t="s">
        <v>1428</v>
      </c>
      <c r="C6" s="2"/>
      <c r="D6" s="12" t="s">
        <v>249</v>
      </c>
      <c r="E6" s="12" t="s">
        <v>1429</v>
      </c>
    </row>
    <row r="7">
      <c r="A7" s="12" t="s">
        <v>1430</v>
      </c>
      <c r="B7" s="12" t="s">
        <v>1431</v>
      </c>
      <c r="C7" s="2"/>
      <c r="D7" s="14" t="s">
        <v>451</v>
      </c>
      <c r="E7" s="14" t="s">
        <v>1432</v>
      </c>
    </row>
    <row r="8">
      <c r="A8" s="14" t="s">
        <v>1433</v>
      </c>
      <c r="B8" s="14" t="s">
        <v>1434</v>
      </c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31" t="s">
        <v>1435</v>
      </c>
      <c r="B11" s="2"/>
      <c r="C11" s="2"/>
      <c r="D11" s="2"/>
      <c r="E11" s="2"/>
    </row>
    <row r="12">
      <c r="A12" s="10" t="s">
        <v>1436</v>
      </c>
      <c r="B12" s="10" t="s">
        <v>1437</v>
      </c>
      <c r="C12" s="2"/>
      <c r="D12" s="2"/>
      <c r="E12" s="2"/>
    </row>
    <row r="13">
      <c r="A13" s="12" t="s">
        <v>1438</v>
      </c>
      <c r="B13" s="12" t="s">
        <v>1439</v>
      </c>
      <c r="C13" s="2"/>
      <c r="D13" s="2"/>
      <c r="E13" s="2"/>
    </row>
    <row r="14">
      <c r="A14" s="12" t="s">
        <v>1440</v>
      </c>
      <c r="B14" s="12" t="s">
        <v>1441</v>
      </c>
      <c r="C14" s="2"/>
      <c r="D14" s="2"/>
      <c r="E14" s="2"/>
    </row>
    <row r="15">
      <c r="A15" s="12" t="s">
        <v>1442</v>
      </c>
      <c r="B15" s="12" t="s">
        <v>1443</v>
      </c>
      <c r="C15" s="2"/>
      <c r="D15" s="2"/>
      <c r="E15" s="2"/>
    </row>
    <row r="16">
      <c r="A16" s="12" t="s">
        <v>1444</v>
      </c>
      <c r="B16" s="12" t="s">
        <v>1445</v>
      </c>
      <c r="C16" s="2"/>
      <c r="D16" s="2"/>
      <c r="E16" s="2"/>
    </row>
    <row r="17">
      <c r="A17" s="12" t="s">
        <v>1446</v>
      </c>
      <c r="B17" s="12" t="s">
        <v>1447</v>
      </c>
      <c r="C17" s="2"/>
      <c r="D17" s="2"/>
      <c r="E17" s="2"/>
    </row>
    <row r="18">
      <c r="A18" s="14" t="s">
        <v>1448</v>
      </c>
      <c r="B18" s="14" t="s">
        <v>1449</v>
      </c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31" t="s">
        <v>1450</v>
      </c>
      <c r="B21" s="2"/>
      <c r="C21" s="2"/>
      <c r="D21" s="2"/>
      <c r="E21" s="2"/>
    </row>
    <row r="22">
      <c r="A22" s="32" t="s">
        <v>1451</v>
      </c>
      <c r="B22" s="10" t="s">
        <v>1452</v>
      </c>
      <c r="C22" s="10" t="s">
        <v>1453</v>
      </c>
      <c r="D22" s="2"/>
      <c r="E22" s="2"/>
    </row>
    <row r="23">
      <c r="A23" s="33" t="s">
        <v>36</v>
      </c>
      <c r="B23" s="12" t="s">
        <v>1454</v>
      </c>
      <c r="C23" s="12" t="s">
        <v>1455</v>
      </c>
      <c r="D23" s="2"/>
      <c r="E23" s="2"/>
    </row>
    <row r="24">
      <c r="A24" s="33" t="s">
        <v>1456</v>
      </c>
      <c r="B24" s="12" t="s">
        <v>1457</v>
      </c>
      <c r="C24" s="12" t="s">
        <v>1458</v>
      </c>
      <c r="D24" s="2"/>
      <c r="E24" s="2"/>
    </row>
    <row r="25">
      <c r="A25" s="33" t="s">
        <v>946</v>
      </c>
      <c r="B25" s="12" t="s">
        <v>1459</v>
      </c>
      <c r="C25" s="12" t="s">
        <v>1460</v>
      </c>
      <c r="D25" s="2"/>
      <c r="E25" s="2"/>
    </row>
    <row r="26">
      <c r="A26" s="33" t="s">
        <v>1461</v>
      </c>
      <c r="B26" s="12" t="s">
        <v>1462</v>
      </c>
      <c r="C26" s="12" t="s">
        <v>1463</v>
      </c>
      <c r="D26" s="2"/>
      <c r="E26" s="2"/>
    </row>
    <row r="27">
      <c r="A27" s="33" t="s">
        <v>1464</v>
      </c>
      <c r="B27" s="12" t="s">
        <v>1465</v>
      </c>
      <c r="C27" s="12" t="s">
        <v>1466</v>
      </c>
      <c r="D27" s="2"/>
      <c r="E27" s="2"/>
    </row>
    <row r="28">
      <c r="A28" s="33" t="s">
        <v>1467</v>
      </c>
      <c r="B28" s="12" t="s">
        <v>1468</v>
      </c>
      <c r="C28" s="12" t="s">
        <v>1469</v>
      </c>
      <c r="D28" s="2"/>
      <c r="E28" s="2"/>
    </row>
    <row r="29">
      <c r="A29" s="33" t="s">
        <v>1470</v>
      </c>
      <c r="B29" s="12" t="s">
        <v>1471</v>
      </c>
      <c r="C29" s="12" t="s">
        <v>1472</v>
      </c>
      <c r="D29" s="2"/>
      <c r="E29" s="2"/>
    </row>
    <row r="30">
      <c r="A30" s="33" t="s">
        <v>1473</v>
      </c>
      <c r="B30" s="12" t="s">
        <v>1474</v>
      </c>
      <c r="C30" s="12" t="s">
        <v>1475</v>
      </c>
      <c r="D30" s="2"/>
      <c r="E30" s="2"/>
    </row>
    <row r="31">
      <c r="A31" s="33" t="s">
        <v>1476</v>
      </c>
      <c r="B31" s="12" t="s">
        <v>1477</v>
      </c>
      <c r="C31" s="12" t="s">
        <v>1478</v>
      </c>
      <c r="D31" s="2"/>
      <c r="E31" s="2"/>
    </row>
    <row r="32">
      <c r="A32" s="33" t="s">
        <v>1479</v>
      </c>
      <c r="B32" s="12" t="s">
        <v>1480</v>
      </c>
      <c r="C32" s="12" t="s">
        <v>1481</v>
      </c>
      <c r="D32" s="2"/>
      <c r="E32" s="2"/>
    </row>
    <row r="33">
      <c r="A33" s="34" t="s">
        <v>1482</v>
      </c>
      <c r="B33" s="14" t="s">
        <v>1483</v>
      </c>
      <c r="C33" s="14" t="s">
        <v>1484</v>
      </c>
      <c r="D33" s="2"/>
      <c r="E33" s="2"/>
    </row>
  </sheetData>
  <mergeCells count="4">
    <mergeCell ref="A1:F1"/>
    <mergeCell ref="A2:F2"/>
    <mergeCell ref="A11:F11"/>
    <mergeCell ref="A21:F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2026-09-25T01:32:41Z</dcterms:modified>
</cp:coreProperties>
</file>