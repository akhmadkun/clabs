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shboard" sheetId="1" state="visible" r:id="rId1"/>
    <sheet name="Lab Roadmap" sheetId="2" state="visible" r:id="rId2"/>
    <sheet name="Platform Matrix" sheetId="3" state="visible" r:id="rId3"/>
    <sheet name="Sources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<sst xmlns="http://schemas.openxmlformats.org/spreadsheetml/2006/main" count="305" uniqueCount="305">
  <si>
    <t xml:space="preserve">IPsec VPN Mastery – Cookbook Lab Roadmap</t>
  </si>
  <si>
    <t xml:space="preserve">Based on Juniper Day One: IPsec VPN Cookbook 2018, adapted to the user's available lab images.</t>
  </si>
  <si>
    <t>Metric</t>
  </si>
  <si>
    <t>Value</t>
  </si>
  <si>
    <t>Phase</t>
  </si>
  <si>
    <t>Labs</t>
  </si>
  <si>
    <t>Completion</t>
  </si>
  <si>
    <t xml:space="preserve">Total labs</t>
  </si>
  <si>
    <t xml:space="preserve">Phase 0 – Design &amp; Architecture</t>
  </si>
  <si>
    <t xml:space="preserve">Not Started</t>
  </si>
  <si>
    <t xml:space="preserve">Phase 1 – Authentication</t>
  </si>
  <si>
    <t xml:space="preserve">In Progress</t>
  </si>
  <si>
    <t xml:space="preserve">Phase 2 – Site-to-Site</t>
  </si>
  <si>
    <t>Complete</t>
  </si>
  <si>
    <t xml:space="preserve">Phase 3 – Overlap &amp; NAT</t>
  </si>
  <si>
    <t xml:space="preserve">Other / Blocked</t>
  </si>
  <si>
    <t xml:space="preserve">Phase 4 – Dynamic Routing</t>
  </si>
  <si>
    <t xml:space="preserve">Phase 5 – ADVPN</t>
  </si>
  <si>
    <t xml:space="preserve">Phase 6 – GroupVPNv2</t>
  </si>
  <si>
    <t xml:space="preserve">Recommended progression: 000 → 020-023 → 030-031 → 040-042 → 050-053 → 060-062 → 070-073 → 080-084 → 100-102</t>
  </si>
  <si>
    <t xml:space="preserve">Phase 7 – Remote Access</t>
  </si>
  <si>
    <t xml:space="preserve">Phase 8 – Troubleshooting</t>
  </si>
  <si>
    <t xml:space="preserve">Phase 9 – Capstone</t>
  </si>
  <si>
    <t xml:space="preserve">Lab ID</t>
  </si>
  <si>
    <t>Lab</t>
  </si>
  <si>
    <t xml:space="preserve">Cookbook Basis</t>
  </si>
  <si>
    <t>Platform</t>
  </si>
  <si>
    <t xml:space="preserve">Primary Image / Stack</t>
  </si>
  <si>
    <t xml:space="preserve">Topology / Scope</t>
  </si>
  <si>
    <t xml:space="preserve">Key Objectives</t>
  </si>
  <si>
    <t>Difficulty</t>
  </si>
  <si>
    <t>Fidelity</t>
  </si>
  <si>
    <t>Status</t>
  </si>
  <si>
    <t>Source</t>
  </si>
  <si>
    <t>IPSEC-000</t>
  </si>
  <si>
    <t xml:space="preserve">IPsec Design Decision</t>
  </si>
  <si>
    <t xml:space="preserve">Chapter 1 – Design / architecture</t>
  </si>
  <si>
    <t xml:space="preserve">Concept / Design</t>
  </si>
  <si>
    <t>None</t>
  </si>
  <si>
    <t xml:space="preserve">No device required; design exercises for fixed-site, overlap, hub-and-spoke, ADVPN, GroupVPN and remote access.</t>
  </si>
  <si>
    <t xml:space="preserve">Choose an appropriate VPN architecture for each use case; understand route-based vs policy-based concepts and core IPsec building blocks.</t>
  </si>
  <si>
    <t>Foundation</t>
  </si>
  <si>
    <t>Source-aligned</t>
  </si>
  <si>
    <t>https://www.juniper.net/documentation/en_US/day-one-books/DO_IPsec_VPNs_2018.pdf</t>
  </si>
  <si>
    <t>IPSEC-010</t>
  </si>
  <si>
    <t xml:space="preserve">PKI Architecture</t>
  </si>
  <si>
    <t xml:space="preserve">Chapter 2 – PKI / authentication foundations</t>
  </si>
  <si>
    <t xml:space="preserve">Linux / Windows</t>
  </si>
  <si>
    <t xml:space="preserve">CA server</t>
  </si>
  <si>
    <t xml:space="preserve">CA → device certificates → trust / revocation services.</t>
  </si>
  <si>
    <t xml:space="preserve">Understand CA hierarchy, device certificates, trust anchors, CRL/OCSP/SCEP concepts.</t>
  </si>
  <si>
    <t>IPSEC-011</t>
  </si>
  <si>
    <t xml:space="preserve">CA + Certificate Enrollment</t>
  </si>
  <si>
    <t xml:space="preserve">Chapter 2 – Certificate enrollment</t>
  </si>
  <si>
    <t>cSRX</t>
  </si>
  <si>
    <t>meekley/csrx:23.4R1.9</t>
  </si>
  <si>
    <t xml:space="preserve">CA connected to two cSRX nodes.</t>
  </si>
  <si>
    <t xml:space="preserve">Enroll certificates and validate certificate-based IKE authentication.</t>
  </si>
  <si>
    <t>Intermediate</t>
  </si>
  <si>
    <t>Adapted</t>
  </si>
  <si>
    <t>IPSEC-012</t>
  </si>
  <si>
    <t xml:space="preserve">OCSP / Certificate Validation</t>
  </si>
  <si>
    <t xml:space="preserve">Chapter 2 – OCSP / certificate validation</t>
  </si>
  <si>
    <t xml:space="preserve">cSRX + CA</t>
  </si>
  <si>
    <t xml:space="preserve">cSRX peers + CA/OCSP service.</t>
  </si>
  <si>
    <t xml:space="preserve">Validate certificates, test revocation and observe failed authentication after revocation.</t>
  </si>
  <si>
    <t>IPSEC-013</t>
  </si>
  <si>
    <t xml:space="preserve">RADIUS / NPS</t>
  </si>
  <si>
    <t xml:space="preserve">Chapter 2 – RADIUS / NPS</t>
  </si>
  <si>
    <t xml:space="preserve">cSRX/vSRX + RADIUS</t>
  </si>
  <si>
    <t xml:space="preserve">cSRX 23.4 / vSRX 23.2 + FreeRADIUS</t>
  </si>
  <si>
    <t xml:space="preserve">VPN gateway connected to RADIUS service.</t>
  </si>
  <si>
    <t xml:space="preserve">Understand AAA flow, RADIUS client configuration and authentication behavior.</t>
  </si>
  <si>
    <t>IPSEC-014</t>
  </si>
  <si>
    <t xml:space="preserve">Remote Access IKEv1 + RADIUS</t>
  </si>
  <si>
    <t xml:space="preserve">Chapter 2 / Chapter 5 – IKEv1 + RADIUS remote access</t>
  </si>
  <si>
    <t xml:space="preserve">vSRX + RADIUS + client</t>
  </si>
  <si>
    <t>eacik8ssrv6/juniper_vsrx:23.2R2.21</t>
  </si>
  <si>
    <t xml:space="preserve">Remote client → vSRX → RADIUS.</t>
  </si>
  <si>
    <t xml:space="preserve">Reproduce legacy IKEv1/RADIUS remote-access behavior from the cookbook.</t>
  </si>
  <si>
    <t>Advanced</t>
  </si>
  <si>
    <t xml:space="preserve">Legacy / Adapted</t>
  </si>
  <si>
    <t>IPSEC-015</t>
  </si>
  <si>
    <t xml:space="preserve">IKEv2 + EAP-TLS</t>
  </si>
  <si>
    <t xml:space="preserve">Chapter 2 / Chapter 5 – IKEv2 EAP-TLS</t>
  </si>
  <si>
    <t xml:space="preserve">vSRX + RADIUS + CA</t>
  </si>
  <si>
    <t xml:space="preserve">Client → IKEv2/EAP-TLS → vSRX → RADIUS/CA.</t>
  </si>
  <si>
    <t xml:space="preserve">Master client/server certificate authentication, EAP-TLS and IKEv2 flow.</t>
  </si>
  <si>
    <t>IPSEC-020</t>
  </si>
  <si>
    <t xml:space="preserve">Site-to-Site Static Peers</t>
  </si>
  <si>
    <t xml:space="preserve">Chapter 3 – Site-to-Site using Static Peers</t>
  </si>
  <si>
    <t xml:space="preserve">LAN-A → cSRX-A ⇄ IPsec ⇄ cSRX-B → LAN-B.</t>
  </si>
  <si>
    <t xml:space="preserve">Configure IKE, IPsec, route-based VPN, st0, security policy and static routing.</t>
  </si>
  <si>
    <t>IPSEC-021</t>
  </si>
  <si>
    <t xml:space="preserve">IKEv2 + PSK Baseline</t>
  </si>
  <si>
    <t xml:space="preserve">Chapter 3 – Site-to-Site fundamentals (adapted baseline)</t>
  </si>
  <si>
    <t xml:space="preserve">cSRX-A ⇄ IPsec ⇄ cSRX-B.</t>
  </si>
  <si>
    <t xml:space="preserve">Build the simplest reproducible IKEv2 + PSK route-based VPN baseline.</t>
  </si>
  <si>
    <t xml:space="preserve">Added / Adapted</t>
  </si>
  <si>
    <t>IPSEC-022</t>
  </si>
  <si>
    <t xml:space="preserve">Source NAT Inside Tunnel</t>
  </si>
  <si>
    <t xml:space="preserve">Chapter 3 – Site-to-Site with Source NAT Inside Tunnel</t>
  </si>
  <si>
    <t xml:space="preserve">Understand packet order across routing, NAT, security policy and IPsec encapsulation.</t>
  </si>
  <si>
    <t>IPSEC-023</t>
  </si>
  <si>
    <t xml:space="preserve">Source NAT Using Public IP</t>
  </si>
  <si>
    <t xml:space="preserve">Chapter 3 – Site-to-Site with Source NAT Using Public IP</t>
  </si>
  <si>
    <t xml:space="preserve">LAN-A → NAT/IPsec → cSRX-B → LAN-B.</t>
  </si>
  <si>
    <t xml:space="preserve">Observe translated inner traffic and encrypted outer transport addressing.</t>
  </si>
  <si>
    <t>IPSEC-030</t>
  </si>
  <si>
    <t xml:space="preserve">Overlapping Subnets</t>
  </si>
  <si>
    <t xml:space="preserve">Chapter 3 – Site-to-Site with Overlapping Subnets</t>
  </si>
  <si>
    <t xml:space="preserve">10.10.10.0/24 on both VPN sites.</t>
  </si>
  <si>
    <t xml:space="preserve">Build overlapping-address VPN using translation and route-based IPsec concepts.</t>
  </si>
  <si>
    <t>IPSEC-031</t>
  </si>
  <si>
    <t xml:space="preserve">Multiple Sites with Overlapping Subnets</t>
  </si>
  <si>
    <t xml:space="preserve">Chapter 3 – Overlapping Subnets on More Than One Site</t>
  </si>
  <si>
    <t>vSRX</t>
  </si>
  <si>
    <t xml:space="preserve">Hub + multiple branches sharing the same real subnet.</t>
  </si>
  <si>
    <t xml:space="preserve">Separate overlapping branches with translated prefixes / routing instances and map them to distinct VPNs.</t>
  </si>
  <si>
    <t xml:space="preserve">Source-aligned / Adapted</t>
  </si>
  <si>
    <t>IPSEC-040</t>
  </si>
  <si>
    <t xml:space="preserve">OSPF over IPsec</t>
  </si>
  <si>
    <t xml:space="preserve">Chapter 3 – Site-to-Site with OSPF</t>
  </si>
  <si>
    <t xml:space="preserve">LAN-A → vSRX-A ⇄ st0/IPsec ⇄ vSRX-B → LAN-B.</t>
  </si>
  <si>
    <t xml:space="preserve">Form OSPF adjacency across st0 and verify remote routes are learned dynamically.</t>
  </si>
  <si>
    <t>IPSEC-041</t>
  </si>
  <si>
    <t xml:space="preserve">BGP over IPsec</t>
  </si>
  <si>
    <t xml:space="preserve">Chapter 3 – Site-to-Site with BGP</t>
  </si>
  <si>
    <t xml:space="preserve">vSRX-A ⇄ st0/IPsec ⇄ vSRX-B with distinct ASNs.</t>
  </si>
  <si>
    <t xml:space="preserve">Form BGP adjacency over the VPN and verify route exchange.</t>
  </si>
  <si>
    <t>IPSEC-042</t>
  </si>
  <si>
    <t xml:space="preserve">P2P vs P2MP st0</t>
  </si>
  <si>
    <t xml:space="preserve">Chapter 3 / Chapter 4 – hub-and-spoke tunnel interface behavior</t>
  </si>
  <si>
    <t xml:space="preserve">Hub-and-spoke topology with tunnel interface mode comparison.</t>
  </si>
  <si>
    <t xml:space="preserve">Understand P2P vs P2MP tunnel behavior and why the topology affects interface mode.</t>
  </si>
  <si>
    <t xml:space="preserve">Added / Source-informed</t>
  </si>
  <si>
    <t>IPSEC-050</t>
  </si>
  <si>
    <t xml:space="preserve">ADVPN Basic</t>
  </si>
  <si>
    <t xml:space="preserve">Chapter 4 – ADVPN without redundant Internet</t>
  </si>
  <si>
    <t xml:space="preserve">Hub + Spoke1 + Spoke2; hub-and-spoke initially, then spoke-to-spoke shortcut.</t>
  </si>
  <si>
    <t xml:space="preserve">Build ADVPN and observe shortcut tunnel establishment between spokes.</t>
  </si>
  <si>
    <t xml:space="preserve">Source-aligned / Platform-adapted</t>
  </si>
  <si>
    <t>IPSEC-051</t>
  </si>
  <si>
    <t xml:space="preserve">ADVPN + OSPF</t>
  </si>
  <si>
    <t xml:space="preserve">Chapter 4 – ADVPN with dynamic routing (lab extension)</t>
  </si>
  <si>
    <t xml:space="preserve">Hub + 2 spokes with OSPF on VPN interfaces.</t>
  </si>
  <si>
    <t xml:space="preserve">Combine ADVPN shortcut behavior with dynamic routing and verify routing/traffic path.</t>
  </si>
  <si>
    <t>IPSEC-052</t>
  </si>
  <si>
    <t xml:space="preserve">ADVPN Redundant Internet at Hub</t>
  </si>
  <si>
    <t xml:space="preserve">Chapter 4 – ADVPN with redundant Internet at hub</t>
  </si>
  <si>
    <t xml:space="preserve">vSRX + cRPD</t>
  </si>
  <si>
    <t xml:space="preserve">vSRX 23.2 + cRPD</t>
  </si>
  <si>
    <t xml:space="preserve">Hub has two WAN paths; spokes reach hub through redundant underlay.</t>
  </si>
  <si>
    <t xml:space="preserve">Simulate hub WAN failure, recovery and VPN path selection.</t>
  </si>
  <si>
    <t>IPSEC-053</t>
  </si>
  <si>
    <t xml:space="preserve">ADVPN Redundant Internet at Hub and Spokes</t>
  </si>
  <si>
    <t xml:space="preserve">Chapter 4 – ADVPN with redundant Internet at hub-and-spokes</t>
  </si>
  <si>
    <t xml:space="preserve">Dual-WAN hub and dual-WAN spokes.</t>
  </si>
  <si>
    <t xml:space="preserve">Exercise hub/spoke WAN failures and observe VPN recovery / reconvergence.</t>
  </si>
  <si>
    <t>Expert</t>
  </si>
  <si>
    <t>IPSEC-060</t>
  </si>
  <si>
    <t xml:space="preserve">GroupVPNv2 Basic</t>
  </si>
  <si>
    <t xml:space="preserve">Chapter 4 – GroupVPNv2 basic topology</t>
  </si>
  <si>
    <t xml:space="preserve">Key Server + multiple Group Members.</t>
  </si>
  <si>
    <t xml:space="preserve">Understand KS/GM roles, group registration and encrypted group connectivity.</t>
  </si>
  <si>
    <t>IPSEC-061</t>
  </si>
  <si>
    <t xml:space="preserve">GroupVPNv2 ≤ 2000 GMs</t>
  </si>
  <si>
    <t xml:space="preserve">Chapter 4 – GroupVPNv2 up to 2000 GMs</t>
  </si>
  <si>
    <t xml:space="preserve">KS + small simulated set of GMs representing a larger deployment.</t>
  </si>
  <si>
    <t xml:space="preserve">Understand scaling model and configuration behavior; scale down node count for lab practicality.</t>
  </si>
  <si>
    <t xml:space="preserve">Source-aligned / Scale-down</t>
  </si>
  <si>
    <t>IPSEC-062</t>
  </si>
  <si>
    <t xml:space="preserve">GroupVPNv2 Server Hierarchy &gt;2000 GMs</t>
  </si>
  <si>
    <t xml:space="preserve">Chapter 4 – GroupVPNv2 more than 2000 GMs</t>
  </si>
  <si>
    <t xml:space="preserve">Root Server → Sub-Servers → simulated GMs.</t>
  </si>
  <si>
    <t xml:space="preserve">Understand server hierarchy used for very large GroupVPNv2 deployments.</t>
  </si>
  <si>
    <t>IPSEC-070</t>
  </si>
  <si>
    <t xml:space="preserve">Remote Access Architecture</t>
  </si>
  <si>
    <t xml:space="preserve">Chapter 5 – Remote Access topology</t>
  </si>
  <si>
    <t xml:space="preserve">vSRX + Linux client</t>
  </si>
  <si>
    <t xml:space="preserve">Remote client → vSRX.</t>
  </si>
  <si>
    <t xml:space="preserve">Understand remote-access VPN architecture, dynamic peers, address pools and user authentication.</t>
  </si>
  <si>
    <t>IPSEC-071</t>
  </si>
  <si>
    <t xml:space="preserve">Remote Access with NCP</t>
  </si>
  <si>
    <t xml:space="preserve">Chapter 5 – Remote Access using NCP</t>
  </si>
  <si>
    <t xml:space="preserve">vSRX + NCP/Windows</t>
  </si>
  <si>
    <t xml:space="preserve">NCP client + NCP management + vSRX.</t>
  </si>
  <si>
    <t xml:space="preserve">Reproduce the cookbook's NCP management/client workflow.</t>
  </si>
  <si>
    <t xml:space="preserve">Source-aligned / Requires Windows</t>
  </si>
  <si>
    <t>IPSEC-072</t>
  </si>
  <si>
    <t xml:space="preserve">IKEv1 + RADIUS Remote Access</t>
  </si>
  <si>
    <t xml:space="preserve">Chapter 5 – IKEv1 + RADIUS authentication</t>
  </si>
  <si>
    <t xml:space="preserve">Client → IKEv1 → vSRX → RADIUS.</t>
  </si>
  <si>
    <t xml:space="preserve">Understand legacy IKEv1 remote-access authentication and AAA integration.</t>
  </si>
  <si>
    <t xml:space="preserve">Source-aligned / Legacy</t>
  </si>
  <si>
    <t>IPSEC-073</t>
  </si>
  <si>
    <t xml:space="preserve">IKEv2 + EAP-TLS Remote Access</t>
  </si>
  <si>
    <t xml:space="preserve">Chapter 5 – IKEv2 + EAP-TLS</t>
  </si>
  <si>
    <t xml:space="preserve">vSRX + RADIUS + CA + client</t>
  </si>
  <si>
    <t xml:space="preserve">Build certificate-based remote access using EAP-TLS.</t>
  </si>
  <si>
    <t>IPSEC-080</t>
  </si>
  <si>
    <t xml:space="preserve">IKE Troubleshooting</t>
  </si>
  <si>
    <t xml:space="preserve">Cookbook verification / troubleshooting patterns</t>
  </si>
  <si>
    <t xml:space="preserve">cSRX / vSRX</t>
  </si>
  <si>
    <t xml:space="preserve">cSRX 23.4 / vSRX 23.2</t>
  </si>
  <si>
    <t xml:space="preserve">Broken IKE configurations.</t>
  </si>
  <si>
    <t xml:space="preserve">Deliberately break proposals, DH, authentication, PSK, identity and IKE version; diagnose and repair.</t>
  </si>
  <si>
    <t>IPSEC-081</t>
  </si>
  <si>
    <t xml:space="preserve">IPsec SA Troubleshooting</t>
  </si>
  <si>
    <t xml:space="preserve">Broken IPsec proposal / PFS / lifetime / traffic selectors.</t>
  </si>
  <si>
    <t xml:space="preserve">Diagnose IPsec SA establishment and policy/selector mismatches.</t>
  </si>
  <si>
    <t>IPSEC-082</t>
  </si>
  <si>
    <t xml:space="preserve">Tunnel UP but Traffic FAIL</t>
  </si>
  <si>
    <t xml:space="preserve">IKE SA up + IPsec SA up + st0 up, but application/ICMP traffic fails.</t>
  </si>
  <si>
    <t xml:space="preserve">Troubleshoot routing, NAT, security policy, host-inbound behavior and return path.</t>
  </si>
  <si>
    <t>IPSEC-083</t>
  </si>
  <si>
    <t xml:space="preserve">Packet Walk</t>
  </si>
  <si>
    <t xml:space="preserve">cSRX / vSRX + multitool</t>
  </si>
  <si>
    <t xml:space="preserve">Endpoint traffic captured before/after encryption.</t>
  </si>
  <si>
    <t xml:space="preserve">Trace packet flow through route lookup, NAT, policy, st0, ESP, WAN and decapsulation.</t>
  </si>
  <si>
    <t>IPSEC-084</t>
  </si>
  <si>
    <t xml:space="preserve">MTU / Fragmentation / MSS</t>
  </si>
  <si>
    <t xml:space="preserve">Chapter 4 examples + verification patterns</t>
  </si>
  <si>
    <t xml:space="preserve">IPsec tunnel with varying MTU/MSS conditions.</t>
  </si>
  <si>
    <t xml:space="preserve">Demonstrate fragmentation/PMTUD behavior and apply appropriate tunnel MTU/MSS handling.</t>
  </si>
  <si>
    <t>IPSEC-100</t>
  </si>
  <si>
    <t xml:space="preserve">Enterprise Hub-and-Spoke VPN</t>
  </si>
  <si>
    <t xml:space="preserve">Integrated cookbook scenarios</t>
  </si>
  <si>
    <t xml:space="preserve">vSRX + cSRX + cRPD</t>
  </si>
  <si>
    <t>Mixed</t>
  </si>
  <si>
    <t xml:space="preserve">Enterprise hub, branches, ISP underlay, LANs and services.</t>
  </si>
  <si>
    <t xml:space="preserve">Integrate IKEv2, certificates, route-based VPN, OSPF, NAT, policy and st0 into one production-style design.</t>
  </si>
  <si>
    <t xml:space="preserve">Capstone / Adapted</t>
  </si>
  <si>
    <t>IPSEC-101</t>
  </si>
  <si>
    <t xml:space="preserve">Enterprise ADVPN</t>
  </si>
  <si>
    <t xml:space="preserve">Integrated Chapter 4 scenarios</t>
  </si>
  <si>
    <t xml:space="preserve">Dual-path ISP underlay, ADVPN hub/spokes, dynamic routing.</t>
  </si>
  <si>
    <t xml:space="preserve">Integrate certificate auth, IKEv2, OSPF, ADVPN, shortcut tunnels and failure recovery.</t>
  </si>
  <si>
    <t>IPSEC-102</t>
  </si>
  <si>
    <t xml:space="preserve">Full IPsec Troubleshooting Challenge</t>
  </si>
  <si>
    <t xml:space="preserve">Integrated cookbook troubleshooting/verification</t>
  </si>
  <si>
    <t xml:space="preserve">Broken universal IPsec topology with multiple intentionally incorrect elements.</t>
  </si>
  <si>
    <t xml:space="preserve">Find, explain, fix and verify IKE, IPsec, policy, NAT, routing and certificate faults without a step-by-step guide.</t>
  </si>
  <si>
    <t xml:space="preserve">Capstone / Added</t>
  </si>
  <si>
    <t xml:space="preserve">Platform / Image</t>
  </si>
  <si>
    <t xml:space="preserve">Exact Image / Stack</t>
  </si>
  <si>
    <t xml:space="preserve">Role in Roadmap</t>
  </si>
  <si>
    <t xml:space="preserve">Important Constraints / Notes</t>
  </si>
  <si>
    <t xml:space="preserve">Primary Labs</t>
  </si>
  <si>
    <t xml:space="preserve">cSRX 23.4R1.9</t>
  </si>
  <si>
    <t xml:space="preserve">Primary for basic site-to-site, NAT, overlap, IKEv2, certificate, hub-and-spoke</t>
  </si>
  <si>
    <t xml:space="preserve">Does not support dynamic routing over st0; IKEv1 limitations apply.</t>
  </si>
  <si>
    <t>IPsec-011,012,013,020-023,030</t>
  </si>
  <si>
    <t xml:space="preserve">cSRX 22.4R2.8</t>
  </si>
  <si>
    <t>mturton/csrx:22.4R2.8</t>
  </si>
  <si>
    <t xml:space="preserve">Compatibility / fallback image</t>
  </si>
  <si>
    <t xml:space="preserve">Use only when 23.4 image behavior differs or a legacy comparison is useful.</t>
  </si>
  <si>
    <t xml:space="preserve">Optional comparison</t>
  </si>
  <si>
    <t xml:space="preserve">vSRX 23.2R2.21</t>
  </si>
  <si>
    <t xml:space="preserve">Advanced IPsec, dynamic routing over st0, ADVPN/GroupVPN experiments, remote access</t>
  </si>
  <si>
    <t xml:space="preserve">QEMU/vrnetlab VM; runtime config uses HTTP loader in our lab design.</t>
  </si>
  <si>
    <t>IPSEC-031,040-042,050-073,080-101</t>
  </si>
  <si>
    <t>cRPD</t>
  </si>
  <si>
    <t xml:space="preserve">Juniper cRPD image</t>
  </si>
  <si>
    <t xml:space="preserve">Simulated ISP / underlay routing (OSPF/BGP/etc.)</t>
  </si>
  <si>
    <t xml:space="preserve">Not used as the SRX IPsec endpoint in this roadmap.</t>
  </si>
  <si>
    <t>IPSEC-052,053,101</t>
  </si>
  <si>
    <t>network-multitool</t>
  </si>
  <si>
    <t>ghcr.io/srl-labs/network-multitool:latest</t>
  </si>
  <si>
    <t xml:space="preserve">Traffic endpoint, tcpdump, ping, route tests</t>
  </si>
  <si>
    <t xml:space="preserve">Endpoint/test utility only.</t>
  </si>
  <si>
    <t>IPSEC-020-023,030-031,040-041,083-084</t>
  </si>
  <si>
    <t xml:space="preserve">Linux CA</t>
  </si>
  <si>
    <t>Linux</t>
  </si>
  <si>
    <t xml:space="preserve">Certificate authority / PKI lab services</t>
  </si>
  <si>
    <t xml:space="preserve">Implementation may use OpenSSL or another CA stack; cookbook originally uses Microsoft CA components.</t>
  </si>
  <si>
    <t>IPSEC-010-012,015,073</t>
  </si>
  <si>
    <t>FreeRADIUS</t>
  </si>
  <si>
    <t xml:space="preserve">RADIUS / AAA lab service</t>
  </si>
  <si>
    <t xml:space="preserve">Cookbook's original NPS environment can be approximated with FreeRADIUS; exact Windows recreation requires Windows.</t>
  </si>
  <si>
    <t>IPSEC-013-015,072-073</t>
  </si>
  <si>
    <t xml:space="preserve">Windows + NCP</t>
  </si>
  <si>
    <t xml:space="preserve">Windows VM</t>
  </si>
  <si>
    <t xml:space="preserve">Exact cookbook remote-access client/management workflow</t>
  </si>
  <si>
    <t xml:space="preserve">Only required for exact NCP reproduction.</t>
  </si>
  <si>
    <t>IPSEC-014,071</t>
  </si>
  <si>
    <t>URL</t>
  </si>
  <si>
    <t>Purpose</t>
  </si>
  <si>
    <t xml:space="preserve">Juniper Day One: IPsec VPN Cookbook 2018</t>
  </si>
  <si>
    <t xml:space="preserve">Primary source used as roadmap backbone.</t>
  </si>
  <si>
    <t xml:space="preserve">Juniper containerlab – cSRX kind</t>
  </si>
  <si>
    <t>https://containerlab.dev/manual/kinds/csrx/</t>
  </si>
  <si>
    <t xml:space="preserve">Containerlab cSRX node/image and startup-config behavior.</t>
  </si>
  <si>
    <t xml:space="preserve">Juniper containerlab – vSRX kind</t>
  </si>
  <si>
    <t>https://containerlab.dev/manual/kinds/vr-vsrx/</t>
  </si>
  <si>
    <t xml:space="preserve">Containerlab vSRX/vrnetlab behavior and startup configuration.</t>
  </si>
  <si>
    <t xml:space="preserve">Juniper cSRX feature support</t>
  </si>
  <si>
    <t>https://www.juniper.net/documentation/us/en/software/csrx/csrx-consolidated-deployment-guide/topics/concept/security-csrx-docker-feature-support.html</t>
  </si>
  <si>
    <t xml:space="preserve">cSRX IPsec and routing feature boundaries used in platform mapping.</t>
  </si>
  <si>
    <t xml:space="preserve">Juniper route-based IPsec VPNs</t>
  </si>
  <si>
    <t>https://www.juniper.net/documentation/us/en/software/junos/vpn-ipsec/topics/topic-map/security-route-based-ipsec-vpns.html</t>
  </si>
  <si>
    <t xml:space="preserve">Junos route-based VPN/st0 concepts used in lab sequencing.</t>
  </si>
  <si>
    <t xml:space="preserve">Juniper Junos 'load' command</t>
  </si>
  <si>
    <t>https://www.juniper.net/documentation/us/en/software/junos/cli-reference/topics/ref/statement/load.html</t>
  </si>
  <si>
    <t xml:space="preserve">Junos load command and URL-based config loading.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</si>
</sst>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name val="Carlito"/>
    </font>
    <font>
      <b/>
      <sz val="16.000000"/>
      <color indexed="65"/>
      <name val="Carlito"/>
    </font>
    <font>
      <i/>
      <sz val="11.000000"/>
      <color rgb="FF5B6573"/>
      <name val="Carlito"/>
    </font>
    <font>
      <b/>
      <sz val="11.000000"/>
      <color indexed="65"/>
      <name val="Carlito"/>
    </font>
    <font>
      <b/>
      <sz val="11.000000"/>
      <color rgb="FF17365D"/>
      <name val="Carlito"/>
    </font>
    <font>
      <b/>
      <sz val="11.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3">
    <xf fontId="0" fillId="0" borderId="0" numFmtId="0" xfId="0"/>
    <xf fontId="1" fillId="2" borderId="0" numFmtId="0" xfId="0" applyFont="1" applyFill="1" applyAlignment="1">
      <alignment horizontal="left" vertical="center"/>
    </xf>
    <xf fontId="2" fillId="0" borderId="0" numFmtId="0" xfId="0" applyFont="1" applyAlignment="1">
      <alignment wrapText="1"/>
    </xf>
    <xf fontId="3" fillId="3" borderId="0" numFmtId="0" xfId="0" applyFont="1" applyFill="1" applyAlignment="1">
      <alignment horizontal="center" vertical="center" wrapText="1"/>
    </xf>
    <xf fontId="0" fillId="0" borderId="0" numFmtId="0" xfId="0"/>
    <xf fontId="0" fillId="0" borderId="0" numFmtId="9" xfId="0" applyNumberFormat="1"/>
    <xf fontId="4" fillId="4" borderId="0" numFmtId="0" xfId="0" applyFont="1" applyFill="1"/>
    <xf fontId="4" fillId="4" borderId="0" numFmtId="9" xfId="0" applyNumberFormat="1" applyFont="1" applyFill="1"/>
    <xf fontId="5" fillId="0" borderId="0" numFmtId="0" xfId="0" applyFont="1" applyAlignment="1">
      <alignment wrapText="1"/>
    </xf>
    <xf fontId="4" fillId="0" borderId="0" numFmtId="0" xfId="0" applyFont="1" applyAlignment="1">
      <alignment wrapText="1"/>
    </xf>
    <xf fontId="0" fillId="0" borderId="0" numFmtId="0" xfId="0" applyAlignment="1">
      <alignment wrapText="1"/>
    </xf>
    <xf fontId="5" fillId="0" borderId="0" numFmtId="0" xfId="0" applyFont="1"/>
    <xf fontId="4" fillId="0" borderId="0" numFmtId="0" xfId="0" applyFont="1"/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/>
              <a:t>Labs by Phase</a:t>
            </a:r>
            <a:endParaRPr/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Labs</c:v>
          </c:tx>
          <c:cat>
            <c:strRef>
              <c:f>'Dashboard'!$D$5:$D$14</c:f>
              <c:strCache>
                <c:ptCount val="10"/>
                <c:pt idx="0">
                  <c:v>Phase 0 – Design &amp; Architecture</c:v>
                </c:pt>
                <c:pt idx="1">
                  <c:v>Phase 1 – Authentication</c:v>
                </c:pt>
                <c:pt idx="2">
                  <c:v>Phase 2 – Site-to-Site</c:v>
                </c:pt>
                <c:pt idx="3">
                  <c:v>Phase 3 – Overlap &amp; NAT</c:v>
                </c:pt>
                <c:pt idx="4">
                  <c:v>Phase 4 – Dynamic Routing</c:v>
                </c:pt>
                <c:pt idx="5">
                  <c:v>Phase 5 – ADVPN</c:v>
                </c:pt>
                <c:pt idx="6">
                  <c:v>Phase 6 – GroupVPNv2</c:v>
                </c:pt>
                <c:pt idx="7">
                  <c:v>Phase 7 – Remote Access</c:v>
                </c:pt>
                <c:pt idx="8">
                  <c:v>Phase 8 – Troubleshooting</c:v>
                </c:pt>
                <c:pt idx="9">
                  <c:v>Phase 9 – Capstone</c:v>
                </c:pt>
              </c:strCache>
            </c:strRef>
          </c:cat>
          <c:val>
            <c:numRef>
              <c:f>'Dashboard'!$E$5:$E$14</c:f>
              <c:numCache>
                <c:formatCode>General</c:formatCode>
                <c:ptCount val="10"/>
                <c:pt idx="0">
                  <c:v>1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  <c:showDLblsOverMax val="0"/>
  </c:chart>
  <c:spPr bwMode="auto">
    <a:xfrm rot="0">
      <a:off x="0" y="0"/>
      <a:ext cx="0" cy="0"/>
    </a:xfrm>
    <a:prstGeom prst="rect">
      <a:avLst/>
    </a:prstGeom>
    <a:ln w="9525">
      <a:solidFill>
        <a:srgbClr val="D9D9D9"/>
      </a:solidFill>
      <a:prstDash val="solid"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>
      <xdr:nvGraphicFramePr>
        <xdr:cNvPr id="1" nam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LabRoadmapTable" ref="A1:L38" headerRowCount="1" totalsRowCount="0">
  <tableColumns count="12">
    <tableColumn id="1" name="Phase"/>
    <tableColumn id="2" name="Lab ID"/>
    <tableColumn id="3" name="Lab"/>
    <tableColumn id="4" name="Cookbook Basis"/>
    <tableColumn id="5" name="Platform"/>
    <tableColumn id="6" name="Primary Image / Stack"/>
    <tableColumn id="7" name="Topology / Scope"/>
    <tableColumn id="8" name="Key Objectives"/>
    <tableColumn id="9" name="Difficulty"/>
    <tableColumn id="10" name="Fidelity"/>
    <tableColumn id="11" name="Status"/>
    <tableColumn id="12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PlatformMatrixTable" ref="A1:E9" headerRowCount="1" totalsRowCount="0">
  <tableColumns count="5">
    <tableColumn id="1" name="Platform / Image"/>
    <tableColumn id="2" name="Exact Image / Stack"/>
    <tableColumn id="3" name="Role in Roadmap"/>
    <tableColumn id="4" name="Important Constraints / Notes"/>
    <tableColumn id="5" name="Primary Lab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SourcesTable" ref="A1:C7" headerRowCount="1" totalsRowCount="0">
  <tableColumns count="3">
    <tableColumn id="1" name="Source"/>
    <tableColumn id="2" name="URL"/>
    <tableColumn id="3" name="Purpos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4" max="4" width="27.8515625"/>
    <col customWidth="1" min="6" max="6" width="18.00390625"/>
  </cols>
  <sheetData>
    <row r="1" ht="24" customHeight="1">
      <c r="A1" s="1" t="s">
        <v>0</v>
      </c>
      <c r="B1" s="1"/>
      <c r="C1" s="1"/>
      <c r="D1" s="1"/>
      <c r="E1" s="1"/>
      <c r="F1" s="1"/>
    </row>
    <row r="2" ht="24" customHeight="1">
      <c r="A2" s="2" t="s">
        <v>1</v>
      </c>
      <c r="B2" s="2"/>
      <c r="C2" s="2"/>
      <c r="D2" s="2"/>
      <c r="E2" s="2"/>
      <c r="F2" s="2"/>
    </row>
    <row r="3" ht="24" customHeight="1"/>
    <row r="4" ht="24" customHeight="1">
      <c r="A4" s="3" t="s">
        <v>2</v>
      </c>
      <c r="B4" s="3" t="s">
        <v>3</v>
      </c>
      <c r="D4" s="3" t="s">
        <v>4</v>
      </c>
      <c r="E4" s="3" t="s">
        <v>5</v>
      </c>
      <c r="F4" s="3" t="s">
        <v>6</v>
      </c>
    </row>
    <row r="5" ht="24" customHeight="1">
      <c r="A5" s="4" t="s">
        <v>7</v>
      </c>
      <c r="B5" s="4">
        <f>COUNTA('Lab Roadmap'!B2:B36)</f>
        <v>35</v>
      </c>
      <c r="D5" s="4" t="s">
        <v>8</v>
      </c>
      <c r="E5" s="4">
        <f>COUNTIF('Lab Roadmap'!$A$2:$A$36,D5)</f>
        <v>1</v>
      </c>
      <c r="F5" s="5">
        <f>IF(E5=0,0,COUNTIFS('Lab Roadmap'!$A$2:$A$36,D5,'Lab Roadmap'!$K$2:$K$36,"Complete")/E5)</f>
        <v>0</v>
      </c>
    </row>
    <row r="6" ht="24" customHeight="1">
      <c r="A6" s="4" t="s">
        <v>9</v>
      </c>
      <c r="B6" s="4">
        <f>COUNTIF('Lab Roadmap'!K2:K36,"Not Started")</f>
        <v>35</v>
      </c>
      <c r="D6" s="4" t="s">
        <v>10</v>
      </c>
      <c r="E6" s="4">
        <f>COUNTIF('Lab Roadmap'!$A$2:$A$36,D6)</f>
        <v>6</v>
      </c>
      <c r="F6" s="5">
        <f>IF(E6=0,0,COUNTIFS('Lab Roadmap'!$A$2:$A$36,D6,'Lab Roadmap'!$K$2:$K$36,"Complete")/E6)</f>
        <v>0</v>
      </c>
    </row>
    <row r="7" ht="24" customHeight="1">
      <c r="A7" s="4" t="s">
        <v>11</v>
      </c>
      <c r="B7" s="4">
        <f>COUNTIF('Lab Roadmap'!K2:K36,"In Progress")</f>
        <v>0</v>
      </c>
      <c r="D7" s="4" t="s">
        <v>12</v>
      </c>
      <c r="E7" s="4">
        <f>COUNTIF('Lab Roadmap'!$A$2:$A$36,D7)</f>
        <v>4</v>
      </c>
      <c r="F7" s="5">
        <f>IF(E7=0,0,COUNTIFS('Lab Roadmap'!$A$2:$A$36,D7,'Lab Roadmap'!$K$2:$K$36,"Complete")/E7)</f>
        <v>0</v>
      </c>
    </row>
    <row r="8" ht="24" customHeight="1">
      <c r="A8" s="4" t="s">
        <v>13</v>
      </c>
      <c r="B8" s="4">
        <f>COUNTIF('Lab Roadmap'!K2:K36,"Complete")</f>
        <v>0</v>
      </c>
      <c r="D8" s="4" t="s">
        <v>14</v>
      </c>
      <c r="E8" s="4">
        <f>COUNTIF('Lab Roadmap'!$A$2:$A$36,D8)</f>
        <v>2</v>
      </c>
      <c r="F8" s="5">
        <f>IF(E8=0,0,COUNTIFS('Lab Roadmap'!$A$2:$A$36,D8,'Lab Roadmap'!$K$2:$K$36,"Complete")/E8)</f>
        <v>0</v>
      </c>
    </row>
    <row r="9" ht="24" customHeight="1">
      <c r="A9" s="4" t="s">
        <v>15</v>
      </c>
      <c r="B9" s="4">
        <f>B5-B6-B7-B8</f>
        <v>0</v>
      </c>
      <c r="D9" s="4" t="s">
        <v>16</v>
      </c>
      <c r="E9" s="4">
        <f>COUNTIF('Lab Roadmap'!$A$2:$A$36,D9)</f>
        <v>3</v>
      </c>
      <c r="F9" s="5">
        <f>IF(E9=0,0,COUNTIFS('Lab Roadmap'!$A$2:$A$36,D9,'Lab Roadmap'!$K$2:$K$36,"Complete")/E9)</f>
        <v>0</v>
      </c>
    </row>
    <row r="10" ht="24" customHeight="1">
      <c r="D10" s="4" t="s">
        <v>17</v>
      </c>
      <c r="E10" s="4">
        <f>COUNTIF('Lab Roadmap'!$A$2:$A$36,D10)</f>
        <v>4</v>
      </c>
      <c r="F10" s="5">
        <f>IF(E10=0,0,COUNTIFS('Lab Roadmap'!$A$2:$A$36,D10,'Lab Roadmap'!$K$2:$K$36,"Complete")/E10)</f>
        <v>0</v>
      </c>
    </row>
    <row r="11" ht="24" customHeight="1">
      <c r="D11" s="4" t="s">
        <v>18</v>
      </c>
      <c r="E11" s="4">
        <f>COUNTIF('Lab Roadmap'!$A$2:$A$36,D11)</f>
        <v>3</v>
      </c>
      <c r="F11" s="5">
        <f>IF(E11=0,0,COUNTIFS('Lab Roadmap'!$A$2:$A$36,D11,'Lab Roadmap'!$K$2:$K$36,"Complete")/E11)</f>
        <v>0</v>
      </c>
    </row>
    <row r="12" ht="24" customHeight="1">
      <c r="A12" s="6" t="s">
        <v>19</v>
      </c>
      <c r="B12" s="6"/>
      <c r="C12" s="6"/>
      <c r="D12" s="6" t="s">
        <v>20</v>
      </c>
      <c r="E12" s="6">
        <f>COUNTIF('Lab Roadmap'!$A$2:$A$36,D12)</f>
        <v>4</v>
      </c>
      <c r="F12" s="7">
        <f>IF(E12=0,0,COUNTIFS('Lab Roadmap'!$A$2:$A$36,D12,'Lab Roadmap'!$K$2:$K$36,"Complete")/E12)</f>
        <v>0</v>
      </c>
    </row>
    <row r="13" ht="24" customHeight="1">
      <c r="D13" s="4" t="s">
        <v>21</v>
      </c>
      <c r="E13" s="4">
        <f>COUNTIF('Lab Roadmap'!$A$2:$A$36,D13)</f>
        <v>5</v>
      </c>
      <c r="F13" s="5">
        <f>IF(E13=0,0,COUNTIFS('Lab Roadmap'!$A$2:$A$36,D13,'Lab Roadmap'!$K$2:$K$36,"Complete")/E13)</f>
        <v>0</v>
      </c>
    </row>
    <row r="14" ht="24" customHeight="1">
      <c r="D14" s="4" t="s">
        <v>22</v>
      </c>
      <c r="E14" s="4">
        <f>COUNTIF('Lab Roadmap'!$A$2:$A$36,D14)</f>
        <v>3</v>
      </c>
      <c r="F14" s="5">
        <f>IF(E14=0,0,COUNTIFS('Lab Roadmap'!$A$2:$A$36,D14,'Lab Roadmap'!$K$2:$K$36,"Complete")/E14)</f>
        <v>0</v>
      </c>
    </row>
  </sheetData>
  <mergeCells count="3">
    <mergeCell ref="A1:F1"/>
    <mergeCell ref="A2:F2"/>
    <mergeCell ref="A12:F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width="25"/>
    <col customWidth="1" min="2" max="2" width="14"/>
    <col customWidth="1" min="3" max="3" width="34"/>
    <col customWidth="1" min="4" max="4" width="44"/>
    <col customWidth="1" min="5" max="5" width="24"/>
    <col customWidth="1" min="6" max="6" width="34"/>
    <col customWidth="1" min="7" max="7" width="50"/>
    <col customWidth="1" min="8" max="8" width="56"/>
    <col customWidth="1" min="9" max="9" width="14"/>
    <col customWidth="1" min="10" max="10" width="24"/>
    <col customWidth="1" min="11" max="11" width="15"/>
    <col customWidth="1" min="12" max="12" width="58"/>
  </cols>
  <sheetData>
    <row r="1">
      <c r="A1" s="3" t="s">
        <v>4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</row>
    <row r="2" ht="48" customHeight="1">
      <c r="A2" s="8" t="s">
        <v>8</v>
      </c>
      <c r="B2" s="9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9</v>
      </c>
      <c r="L2" s="10" t="s">
        <v>43</v>
      </c>
      <c r="M2" t="s">
        <v>43</v>
      </c>
    </row>
    <row r="3" ht="48" customHeight="1">
      <c r="A3" s="8" t="s">
        <v>10</v>
      </c>
      <c r="B3" s="9" t="s">
        <v>44</v>
      </c>
      <c r="C3" s="10" t="s">
        <v>45</v>
      </c>
      <c r="D3" s="10" t="s">
        <v>46</v>
      </c>
      <c r="E3" s="10" t="s">
        <v>47</v>
      </c>
      <c r="F3" s="10" t="s">
        <v>48</v>
      </c>
      <c r="G3" s="10" t="s">
        <v>49</v>
      </c>
      <c r="H3" s="10" t="s">
        <v>50</v>
      </c>
      <c r="I3" s="10" t="s">
        <v>41</v>
      </c>
      <c r="J3" s="10" t="s">
        <v>42</v>
      </c>
      <c r="K3" s="10" t="s">
        <v>9</v>
      </c>
      <c r="L3" s="10" t="s">
        <v>43</v>
      </c>
      <c r="M3" t="s">
        <v>43</v>
      </c>
    </row>
    <row r="4" ht="48" customHeight="1">
      <c r="A4" s="8" t="s">
        <v>10</v>
      </c>
      <c r="B4" s="9" t="s">
        <v>51</v>
      </c>
      <c r="C4" s="10" t="s">
        <v>52</v>
      </c>
      <c r="D4" s="10" t="s">
        <v>53</v>
      </c>
      <c r="E4" s="10" t="s">
        <v>54</v>
      </c>
      <c r="F4" s="10" t="s">
        <v>55</v>
      </c>
      <c r="G4" s="10" t="s">
        <v>56</v>
      </c>
      <c r="H4" s="10" t="s">
        <v>57</v>
      </c>
      <c r="I4" s="10" t="s">
        <v>58</v>
      </c>
      <c r="J4" s="10" t="s">
        <v>59</v>
      </c>
      <c r="K4" s="10" t="s">
        <v>9</v>
      </c>
      <c r="L4" s="10" t="s">
        <v>43</v>
      </c>
      <c r="M4" t="s">
        <v>43</v>
      </c>
    </row>
    <row r="5" ht="48" customHeight="1">
      <c r="A5" s="8" t="s">
        <v>10</v>
      </c>
      <c r="B5" s="9" t="s">
        <v>60</v>
      </c>
      <c r="C5" s="10" t="s">
        <v>61</v>
      </c>
      <c r="D5" s="10" t="s">
        <v>62</v>
      </c>
      <c r="E5" s="10" t="s">
        <v>63</v>
      </c>
      <c r="F5" s="10" t="s">
        <v>55</v>
      </c>
      <c r="G5" s="10" t="s">
        <v>64</v>
      </c>
      <c r="H5" s="10" t="s">
        <v>65</v>
      </c>
      <c r="I5" s="10" t="s">
        <v>58</v>
      </c>
      <c r="J5" s="10" t="s">
        <v>59</v>
      </c>
      <c r="K5" s="10" t="s">
        <v>9</v>
      </c>
      <c r="L5" s="10" t="s">
        <v>43</v>
      </c>
      <c r="M5" t="s">
        <v>43</v>
      </c>
    </row>
    <row r="6" ht="48" customHeight="1">
      <c r="A6" s="8" t="s">
        <v>10</v>
      </c>
      <c r="B6" s="9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58</v>
      </c>
      <c r="J6" s="10" t="s">
        <v>59</v>
      </c>
      <c r="K6" s="10" t="s">
        <v>9</v>
      </c>
      <c r="L6" s="10" t="s">
        <v>43</v>
      </c>
      <c r="M6" t="s">
        <v>43</v>
      </c>
    </row>
    <row r="7" ht="48" customHeight="1">
      <c r="A7" s="8" t="s">
        <v>10</v>
      </c>
      <c r="B7" s="9" t="s">
        <v>73</v>
      </c>
      <c r="C7" s="10" t="s">
        <v>74</v>
      </c>
      <c r="D7" s="10" t="s">
        <v>75</v>
      </c>
      <c r="E7" s="10" t="s">
        <v>76</v>
      </c>
      <c r="F7" s="10" t="s">
        <v>77</v>
      </c>
      <c r="G7" s="10" t="s">
        <v>78</v>
      </c>
      <c r="H7" s="10" t="s">
        <v>79</v>
      </c>
      <c r="I7" s="10" t="s">
        <v>80</v>
      </c>
      <c r="J7" s="10" t="s">
        <v>81</v>
      </c>
      <c r="K7" s="10" t="s">
        <v>9</v>
      </c>
      <c r="L7" s="10" t="s">
        <v>43</v>
      </c>
      <c r="M7" t="s">
        <v>43</v>
      </c>
    </row>
    <row r="8" ht="48" customHeight="1">
      <c r="A8" s="8" t="s">
        <v>10</v>
      </c>
      <c r="B8" s="9" t="s">
        <v>82</v>
      </c>
      <c r="C8" s="10" t="s">
        <v>83</v>
      </c>
      <c r="D8" s="10" t="s">
        <v>84</v>
      </c>
      <c r="E8" s="10" t="s">
        <v>85</v>
      </c>
      <c r="F8" s="10" t="s">
        <v>77</v>
      </c>
      <c r="G8" s="10" t="s">
        <v>86</v>
      </c>
      <c r="H8" s="10" t="s">
        <v>87</v>
      </c>
      <c r="I8" s="10" t="s">
        <v>80</v>
      </c>
      <c r="J8" s="10" t="s">
        <v>59</v>
      </c>
      <c r="K8" s="10" t="s">
        <v>9</v>
      </c>
      <c r="L8" s="10" t="s">
        <v>43</v>
      </c>
      <c r="M8" t="s">
        <v>43</v>
      </c>
    </row>
    <row r="9" ht="48" customHeight="1">
      <c r="A9" s="8" t="s">
        <v>12</v>
      </c>
      <c r="B9" s="9" t="s">
        <v>88</v>
      </c>
      <c r="C9" s="10" t="s">
        <v>89</v>
      </c>
      <c r="D9" s="10" t="s">
        <v>90</v>
      </c>
      <c r="E9" s="10" t="s">
        <v>54</v>
      </c>
      <c r="F9" s="10" t="s">
        <v>55</v>
      </c>
      <c r="G9" s="10" t="s">
        <v>91</v>
      </c>
      <c r="H9" s="10" t="s">
        <v>92</v>
      </c>
      <c r="I9" s="10" t="s">
        <v>41</v>
      </c>
      <c r="J9" s="10" t="s">
        <v>42</v>
      </c>
      <c r="K9" s="10" t="s">
        <v>9</v>
      </c>
      <c r="L9" s="10" t="s">
        <v>43</v>
      </c>
      <c r="M9" t="s">
        <v>43</v>
      </c>
    </row>
    <row r="10" ht="48" customHeight="1">
      <c r="A10" s="8" t="s">
        <v>12</v>
      </c>
      <c r="B10" s="9" t="s">
        <v>93</v>
      </c>
      <c r="C10" s="10" t="s">
        <v>94</v>
      </c>
      <c r="D10" s="10" t="s">
        <v>95</v>
      </c>
      <c r="E10" s="10" t="s">
        <v>54</v>
      </c>
      <c r="F10" s="10" t="s">
        <v>55</v>
      </c>
      <c r="G10" s="10" t="s">
        <v>96</v>
      </c>
      <c r="H10" s="10" t="s">
        <v>97</v>
      </c>
      <c r="I10" s="10" t="s">
        <v>41</v>
      </c>
      <c r="J10" s="10" t="s">
        <v>98</v>
      </c>
      <c r="K10" s="10" t="s">
        <v>9</v>
      </c>
      <c r="L10" s="10" t="s">
        <v>43</v>
      </c>
      <c r="M10" t="s">
        <v>43</v>
      </c>
    </row>
    <row r="11" ht="48" customHeight="1">
      <c r="A11" s="8" t="s">
        <v>12</v>
      </c>
      <c r="B11" s="9" t="s">
        <v>99</v>
      </c>
      <c r="C11" s="10" t="s">
        <v>100</v>
      </c>
      <c r="D11" s="10" t="s">
        <v>101</v>
      </c>
      <c r="E11" s="10" t="s">
        <v>54</v>
      </c>
      <c r="F11" s="10" t="s">
        <v>55</v>
      </c>
      <c r="G11" s="10" t="s">
        <v>91</v>
      </c>
      <c r="H11" s="10" t="s">
        <v>102</v>
      </c>
      <c r="I11" s="10" t="s">
        <v>58</v>
      </c>
      <c r="J11" s="10" t="s">
        <v>42</v>
      </c>
      <c r="K11" s="10" t="s">
        <v>9</v>
      </c>
      <c r="L11" s="10" t="s">
        <v>43</v>
      </c>
      <c r="M11" t="s">
        <v>43</v>
      </c>
    </row>
    <row r="12" ht="48" customHeight="1">
      <c r="A12" s="8" t="s">
        <v>12</v>
      </c>
      <c r="B12" s="9" t="s">
        <v>103</v>
      </c>
      <c r="C12" s="10" t="s">
        <v>104</v>
      </c>
      <c r="D12" s="10" t="s">
        <v>105</v>
      </c>
      <c r="E12" s="10" t="s">
        <v>54</v>
      </c>
      <c r="F12" s="10" t="s">
        <v>55</v>
      </c>
      <c r="G12" s="10" t="s">
        <v>106</v>
      </c>
      <c r="H12" s="10" t="s">
        <v>107</v>
      </c>
      <c r="I12" s="10" t="s">
        <v>58</v>
      </c>
      <c r="J12" s="10" t="s">
        <v>42</v>
      </c>
      <c r="K12" s="10" t="s">
        <v>9</v>
      </c>
      <c r="L12" s="10" t="s">
        <v>43</v>
      </c>
      <c r="M12" t="s">
        <v>43</v>
      </c>
    </row>
    <row r="13" ht="48" customHeight="1">
      <c r="A13" s="8" t="s">
        <v>14</v>
      </c>
      <c r="B13" s="9" t="s">
        <v>108</v>
      </c>
      <c r="C13" s="10" t="s">
        <v>109</v>
      </c>
      <c r="D13" s="10" t="s">
        <v>110</v>
      </c>
      <c r="E13" s="10" t="s">
        <v>54</v>
      </c>
      <c r="F13" s="10" t="s">
        <v>55</v>
      </c>
      <c r="G13" s="10" t="s">
        <v>111</v>
      </c>
      <c r="H13" s="10" t="s">
        <v>112</v>
      </c>
      <c r="I13" s="10" t="s">
        <v>58</v>
      </c>
      <c r="J13" s="10" t="s">
        <v>42</v>
      </c>
      <c r="K13" s="10" t="s">
        <v>9</v>
      </c>
      <c r="L13" s="10" t="s">
        <v>43</v>
      </c>
      <c r="M13" t="s">
        <v>43</v>
      </c>
    </row>
    <row r="14" ht="48" customHeight="1">
      <c r="A14" s="8" t="s">
        <v>14</v>
      </c>
      <c r="B14" s="9" t="s">
        <v>113</v>
      </c>
      <c r="C14" s="10" t="s">
        <v>114</v>
      </c>
      <c r="D14" s="10" t="s">
        <v>115</v>
      </c>
      <c r="E14" s="10" t="s">
        <v>116</v>
      </c>
      <c r="F14" s="10" t="s">
        <v>77</v>
      </c>
      <c r="G14" s="10" t="s">
        <v>117</v>
      </c>
      <c r="H14" s="10" t="s">
        <v>118</v>
      </c>
      <c r="I14" s="10" t="s">
        <v>80</v>
      </c>
      <c r="J14" s="10" t="s">
        <v>119</v>
      </c>
      <c r="K14" s="10" t="s">
        <v>9</v>
      </c>
      <c r="L14" s="10" t="s">
        <v>43</v>
      </c>
      <c r="M14" t="s">
        <v>43</v>
      </c>
    </row>
    <row r="15" ht="48" customHeight="1">
      <c r="A15" s="8" t="s">
        <v>16</v>
      </c>
      <c r="B15" s="9" t="s">
        <v>120</v>
      </c>
      <c r="C15" s="10" t="s">
        <v>121</v>
      </c>
      <c r="D15" s="10" t="s">
        <v>122</v>
      </c>
      <c r="E15" s="10" t="s">
        <v>116</v>
      </c>
      <c r="F15" s="10" t="s">
        <v>77</v>
      </c>
      <c r="G15" s="10" t="s">
        <v>123</v>
      </c>
      <c r="H15" s="10" t="s">
        <v>124</v>
      </c>
      <c r="I15" s="10" t="s">
        <v>58</v>
      </c>
      <c r="J15" s="10" t="s">
        <v>42</v>
      </c>
      <c r="K15" s="10" t="s">
        <v>9</v>
      </c>
      <c r="L15" s="10" t="s">
        <v>43</v>
      </c>
      <c r="M15" t="s">
        <v>43</v>
      </c>
    </row>
    <row r="16" ht="48" customHeight="1">
      <c r="A16" s="8" t="s">
        <v>16</v>
      </c>
      <c r="B16" s="9" t="s">
        <v>125</v>
      </c>
      <c r="C16" s="10" t="s">
        <v>126</v>
      </c>
      <c r="D16" s="10" t="s">
        <v>127</v>
      </c>
      <c r="E16" s="10" t="s">
        <v>116</v>
      </c>
      <c r="F16" s="10" t="s">
        <v>77</v>
      </c>
      <c r="G16" s="10" t="s">
        <v>128</v>
      </c>
      <c r="H16" s="10" t="s">
        <v>129</v>
      </c>
      <c r="I16" s="10" t="s">
        <v>58</v>
      </c>
      <c r="J16" s="10" t="s">
        <v>42</v>
      </c>
      <c r="K16" s="10" t="s">
        <v>9</v>
      </c>
      <c r="L16" s="10" t="s">
        <v>43</v>
      </c>
      <c r="M16" t="s">
        <v>43</v>
      </c>
    </row>
    <row r="17" ht="48" customHeight="1">
      <c r="A17" s="8" t="s">
        <v>16</v>
      </c>
      <c r="B17" s="9" t="s">
        <v>130</v>
      </c>
      <c r="C17" s="10" t="s">
        <v>131</v>
      </c>
      <c r="D17" s="10" t="s">
        <v>132</v>
      </c>
      <c r="E17" s="10" t="s">
        <v>116</v>
      </c>
      <c r="F17" s="10" t="s">
        <v>77</v>
      </c>
      <c r="G17" s="10" t="s">
        <v>133</v>
      </c>
      <c r="H17" s="10" t="s">
        <v>134</v>
      </c>
      <c r="I17" s="10" t="s">
        <v>80</v>
      </c>
      <c r="J17" s="10" t="s">
        <v>135</v>
      </c>
      <c r="K17" s="10" t="s">
        <v>9</v>
      </c>
      <c r="L17" s="10" t="s">
        <v>43</v>
      </c>
      <c r="M17" t="s">
        <v>43</v>
      </c>
    </row>
    <row r="18" ht="48" customHeight="1">
      <c r="A18" s="8" t="s">
        <v>17</v>
      </c>
      <c r="B18" s="9" t="s">
        <v>136</v>
      </c>
      <c r="C18" s="10" t="s">
        <v>137</v>
      </c>
      <c r="D18" s="10" t="s">
        <v>138</v>
      </c>
      <c r="E18" s="10" t="s">
        <v>116</v>
      </c>
      <c r="F18" s="10" t="s">
        <v>77</v>
      </c>
      <c r="G18" s="10" t="s">
        <v>139</v>
      </c>
      <c r="H18" s="10" t="s">
        <v>140</v>
      </c>
      <c r="I18" s="10" t="s">
        <v>80</v>
      </c>
      <c r="J18" s="10" t="s">
        <v>141</v>
      </c>
      <c r="K18" s="10" t="s">
        <v>9</v>
      </c>
      <c r="L18" s="10" t="s">
        <v>43</v>
      </c>
      <c r="M18" t="s">
        <v>43</v>
      </c>
    </row>
    <row r="19" ht="48" customHeight="1">
      <c r="A19" s="8" t="s">
        <v>17</v>
      </c>
      <c r="B19" s="9" t="s">
        <v>142</v>
      </c>
      <c r="C19" s="10" t="s">
        <v>143</v>
      </c>
      <c r="D19" s="10" t="s">
        <v>144</v>
      </c>
      <c r="E19" s="10" t="s">
        <v>116</v>
      </c>
      <c r="F19" s="10" t="s">
        <v>77</v>
      </c>
      <c r="G19" s="10" t="s">
        <v>145</v>
      </c>
      <c r="H19" s="10" t="s">
        <v>146</v>
      </c>
      <c r="I19" s="10" t="s">
        <v>80</v>
      </c>
      <c r="J19" s="10" t="s">
        <v>135</v>
      </c>
      <c r="K19" s="10" t="s">
        <v>9</v>
      </c>
      <c r="L19" s="10" t="s">
        <v>43</v>
      </c>
      <c r="M19" t="s">
        <v>43</v>
      </c>
    </row>
    <row r="20" ht="48" customHeight="1">
      <c r="A20" s="8" t="s">
        <v>17</v>
      </c>
      <c r="B20" s="9" t="s">
        <v>147</v>
      </c>
      <c r="C20" s="10" t="s">
        <v>148</v>
      </c>
      <c r="D20" s="10" t="s">
        <v>149</v>
      </c>
      <c r="E20" s="10" t="s">
        <v>150</v>
      </c>
      <c r="F20" s="10" t="s">
        <v>151</v>
      </c>
      <c r="G20" s="10" t="s">
        <v>152</v>
      </c>
      <c r="H20" s="10" t="s">
        <v>153</v>
      </c>
      <c r="I20" s="10" t="s">
        <v>80</v>
      </c>
      <c r="J20" s="10" t="s">
        <v>119</v>
      </c>
      <c r="K20" s="10" t="s">
        <v>9</v>
      </c>
      <c r="L20" s="10" t="s">
        <v>43</v>
      </c>
      <c r="M20" t="s">
        <v>43</v>
      </c>
    </row>
    <row r="21" ht="48" customHeight="1">
      <c r="A21" s="8" t="s">
        <v>17</v>
      </c>
      <c r="B21" s="9" t="s">
        <v>154</v>
      </c>
      <c r="C21" s="10" t="s">
        <v>155</v>
      </c>
      <c r="D21" s="10" t="s">
        <v>156</v>
      </c>
      <c r="E21" s="10" t="s">
        <v>150</v>
      </c>
      <c r="F21" s="10" t="s">
        <v>151</v>
      </c>
      <c r="G21" s="10" t="s">
        <v>157</v>
      </c>
      <c r="H21" s="10" t="s">
        <v>158</v>
      </c>
      <c r="I21" s="10" t="s">
        <v>159</v>
      </c>
      <c r="J21" s="10" t="s">
        <v>119</v>
      </c>
      <c r="K21" s="10" t="s">
        <v>9</v>
      </c>
      <c r="L21" s="10" t="s">
        <v>43</v>
      </c>
      <c r="M21" t="s">
        <v>43</v>
      </c>
    </row>
    <row r="22" ht="48" customHeight="1">
      <c r="A22" s="8" t="s">
        <v>18</v>
      </c>
      <c r="B22" s="9" t="s">
        <v>160</v>
      </c>
      <c r="C22" s="10" t="s">
        <v>161</v>
      </c>
      <c r="D22" s="10" t="s">
        <v>162</v>
      </c>
      <c r="E22" s="10" t="s">
        <v>116</v>
      </c>
      <c r="F22" s="10" t="s">
        <v>77</v>
      </c>
      <c r="G22" s="10" t="s">
        <v>163</v>
      </c>
      <c r="H22" s="10" t="s">
        <v>164</v>
      </c>
      <c r="I22" s="10" t="s">
        <v>80</v>
      </c>
      <c r="J22" s="10" t="s">
        <v>141</v>
      </c>
      <c r="K22" s="10" t="s">
        <v>9</v>
      </c>
      <c r="L22" s="10" t="s">
        <v>43</v>
      </c>
      <c r="M22" t="s">
        <v>43</v>
      </c>
    </row>
    <row r="23" ht="48" customHeight="1">
      <c r="A23" s="8" t="s">
        <v>18</v>
      </c>
      <c r="B23" s="9" t="s">
        <v>165</v>
      </c>
      <c r="C23" s="10" t="s">
        <v>166</v>
      </c>
      <c r="D23" s="10" t="s">
        <v>167</v>
      </c>
      <c r="E23" s="10" t="s">
        <v>116</v>
      </c>
      <c r="F23" s="10" t="s">
        <v>77</v>
      </c>
      <c r="G23" s="10" t="s">
        <v>168</v>
      </c>
      <c r="H23" s="10" t="s">
        <v>169</v>
      </c>
      <c r="I23" s="10" t="s">
        <v>80</v>
      </c>
      <c r="J23" s="10" t="s">
        <v>170</v>
      </c>
      <c r="K23" s="10" t="s">
        <v>9</v>
      </c>
      <c r="L23" s="10" t="s">
        <v>43</v>
      </c>
      <c r="M23" t="s">
        <v>43</v>
      </c>
    </row>
    <row r="24" ht="48" customHeight="1">
      <c r="A24" s="8" t="s">
        <v>18</v>
      </c>
      <c r="B24" s="9" t="s">
        <v>171</v>
      </c>
      <c r="C24" s="10" t="s">
        <v>172</v>
      </c>
      <c r="D24" s="10" t="s">
        <v>173</v>
      </c>
      <c r="E24" s="10" t="s">
        <v>116</v>
      </c>
      <c r="F24" s="10" t="s">
        <v>77</v>
      </c>
      <c r="G24" s="10" t="s">
        <v>174</v>
      </c>
      <c r="H24" s="10" t="s">
        <v>175</v>
      </c>
      <c r="I24" s="10" t="s">
        <v>159</v>
      </c>
      <c r="J24" s="10" t="s">
        <v>170</v>
      </c>
      <c r="K24" s="10" t="s">
        <v>9</v>
      </c>
      <c r="L24" s="10" t="s">
        <v>43</v>
      </c>
      <c r="M24" t="s">
        <v>43</v>
      </c>
    </row>
    <row r="25" ht="48" customHeight="1">
      <c r="A25" s="8" t="s">
        <v>20</v>
      </c>
      <c r="B25" s="9" t="s">
        <v>176</v>
      </c>
      <c r="C25" s="10" t="s">
        <v>177</v>
      </c>
      <c r="D25" s="10" t="s">
        <v>178</v>
      </c>
      <c r="E25" s="10" t="s">
        <v>179</v>
      </c>
      <c r="F25" s="10" t="s">
        <v>77</v>
      </c>
      <c r="G25" s="10" t="s">
        <v>180</v>
      </c>
      <c r="H25" s="10" t="s">
        <v>181</v>
      </c>
      <c r="I25" s="10" t="s">
        <v>58</v>
      </c>
      <c r="J25" s="10" t="s">
        <v>119</v>
      </c>
      <c r="K25" s="10" t="s">
        <v>9</v>
      </c>
      <c r="L25" s="10" t="s">
        <v>43</v>
      </c>
      <c r="M25" t="s">
        <v>43</v>
      </c>
    </row>
    <row r="26" ht="48" customHeight="1">
      <c r="A26" s="8" t="s">
        <v>20</v>
      </c>
      <c r="B26" s="9" t="s">
        <v>182</v>
      </c>
      <c r="C26" s="10" t="s">
        <v>183</v>
      </c>
      <c r="D26" s="10" t="s">
        <v>184</v>
      </c>
      <c r="E26" s="10" t="s">
        <v>185</v>
      </c>
      <c r="F26" s="10" t="s">
        <v>77</v>
      </c>
      <c r="G26" s="10" t="s">
        <v>186</v>
      </c>
      <c r="H26" s="10" t="s">
        <v>187</v>
      </c>
      <c r="I26" s="10" t="s">
        <v>80</v>
      </c>
      <c r="J26" s="10" t="s">
        <v>188</v>
      </c>
      <c r="K26" s="10" t="s">
        <v>9</v>
      </c>
      <c r="L26" s="10" t="s">
        <v>43</v>
      </c>
      <c r="M26" t="s">
        <v>43</v>
      </c>
    </row>
    <row r="27" ht="48" customHeight="1">
      <c r="A27" s="8" t="s">
        <v>20</v>
      </c>
      <c r="B27" s="9" t="s">
        <v>189</v>
      </c>
      <c r="C27" s="10" t="s">
        <v>190</v>
      </c>
      <c r="D27" s="10" t="s">
        <v>191</v>
      </c>
      <c r="E27" s="10" t="s">
        <v>76</v>
      </c>
      <c r="F27" s="10" t="s">
        <v>77</v>
      </c>
      <c r="G27" s="10" t="s">
        <v>192</v>
      </c>
      <c r="H27" s="10" t="s">
        <v>193</v>
      </c>
      <c r="I27" s="10" t="s">
        <v>80</v>
      </c>
      <c r="J27" s="10" t="s">
        <v>194</v>
      </c>
      <c r="K27" s="10" t="s">
        <v>9</v>
      </c>
      <c r="L27" s="10" t="s">
        <v>43</v>
      </c>
      <c r="M27" t="s">
        <v>43</v>
      </c>
    </row>
    <row r="28" ht="48" customHeight="1">
      <c r="A28" s="8" t="s">
        <v>20</v>
      </c>
      <c r="B28" s="9" t="s">
        <v>195</v>
      </c>
      <c r="C28" s="10" t="s">
        <v>196</v>
      </c>
      <c r="D28" s="10" t="s">
        <v>197</v>
      </c>
      <c r="E28" s="10" t="s">
        <v>198</v>
      </c>
      <c r="F28" s="10" t="s">
        <v>77</v>
      </c>
      <c r="G28" s="10" t="s">
        <v>86</v>
      </c>
      <c r="H28" s="10" t="s">
        <v>199</v>
      </c>
      <c r="I28" s="10" t="s">
        <v>159</v>
      </c>
      <c r="J28" s="10" t="s">
        <v>119</v>
      </c>
      <c r="K28" s="10" t="s">
        <v>9</v>
      </c>
      <c r="L28" s="10" t="s">
        <v>43</v>
      </c>
      <c r="M28" t="s">
        <v>43</v>
      </c>
    </row>
    <row r="29" ht="48" customHeight="1">
      <c r="A29" s="8" t="s">
        <v>21</v>
      </c>
      <c r="B29" s="9" t="s">
        <v>200</v>
      </c>
      <c r="C29" s="10" t="s">
        <v>201</v>
      </c>
      <c r="D29" s="10" t="s">
        <v>202</v>
      </c>
      <c r="E29" s="10" t="s">
        <v>203</v>
      </c>
      <c r="F29" s="10" t="s">
        <v>204</v>
      </c>
      <c r="G29" s="10" t="s">
        <v>205</v>
      </c>
      <c r="H29" s="10" t="s">
        <v>206</v>
      </c>
      <c r="I29" s="10" t="s">
        <v>80</v>
      </c>
      <c r="J29" s="10" t="s">
        <v>135</v>
      </c>
      <c r="K29" s="10" t="s">
        <v>9</v>
      </c>
      <c r="L29" s="10" t="s">
        <v>43</v>
      </c>
      <c r="M29" t="s">
        <v>43</v>
      </c>
    </row>
    <row r="30" ht="48" customHeight="1">
      <c r="A30" s="8" t="s">
        <v>21</v>
      </c>
      <c r="B30" s="9" t="s">
        <v>207</v>
      </c>
      <c r="C30" s="10" t="s">
        <v>208</v>
      </c>
      <c r="D30" s="10" t="s">
        <v>202</v>
      </c>
      <c r="E30" s="10" t="s">
        <v>203</v>
      </c>
      <c r="F30" s="10" t="s">
        <v>204</v>
      </c>
      <c r="G30" s="10" t="s">
        <v>209</v>
      </c>
      <c r="H30" s="10" t="s">
        <v>210</v>
      </c>
      <c r="I30" s="10" t="s">
        <v>80</v>
      </c>
      <c r="J30" s="10" t="s">
        <v>135</v>
      </c>
      <c r="K30" s="10" t="s">
        <v>9</v>
      </c>
      <c r="L30" s="10" t="s">
        <v>43</v>
      </c>
      <c r="M30" t="s">
        <v>43</v>
      </c>
    </row>
    <row r="31" ht="48" customHeight="1">
      <c r="A31" s="8" t="s">
        <v>21</v>
      </c>
      <c r="B31" s="9" t="s">
        <v>211</v>
      </c>
      <c r="C31" s="10" t="s">
        <v>212</v>
      </c>
      <c r="D31" s="10" t="s">
        <v>202</v>
      </c>
      <c r="E31" s="10" t="s">
        <v>203</v>
      </c>
      <c r="F31" s="10" t="s">
        <v>204</v>
      </c>
      <c r="G31" s="10" t="s">
        <v>213</v>
      </c>
      <c r="H31" s="10" t="s">
        <v>214</v>
      </c>
      <c r="I31" s="10" t="s">
        <v>80</v>
      </c>
      <c r="J31" s="10" t="s">
        <v>135</v>
      </c>
      <c r="K31" s="10" t="s">
        <v>9</v>
      </c>
      <c r="L31" s="10" t="s">
        <v>43</v>
      </c>
      <c r="M31" t="s">
        <v>43</v>
      </c>
    </row>
    <row r="32" ht="48" customHeight="1">
      <c r="A32" s="8" t="s">
        <v>21</v>
      </c>
      <c r="B32" s="9" t="s">
        <v>215</v>
      </c>
      <c r="C32" s="10" t="s">
        <v>216</v>
      </c>
      <c r="D32" s="10" t="s">
        <v>202</v>
      </c>
      <c r="E32" s="10" t="s">
        <v>217</v>
      </c>
      <c r="F32" s="10" t="s">
        <v>204</v>
      </c>
      <c r="G32" s="10" t="s">
        <v>218</v>
      </c>
      <c r="H32" s="10" t="s">
        <v>219</v>
      </c>
      <c r="I32" s="10" t="s">
        <v>80</v>
      </c>
      <c r="J32" s="10" t="s">
        <v>135</v>
      </c>
      <c r="K32" s="10" t="s">
        <v>9</v>
      </c>
      <c r="L32" s="10" t="s">
        <v>43</v>
      </c>
      <c r="M32" t="s">
        <v>43</v>
      </c>
    </row>
    <row r="33" ht="48" customHeight="1">
      <c r="A33" s="8" t="s">
        <v>21</v>
      </c>
      <c r="B33" s="9" t="s">
        <v>220</v>
      </c>
      <c r="C33" s="10" t="s">
        <v>221</v>
      </c>
      <c r="D33" s="10" t="s">
        <v>222</v>
      </c>
      <c r="E33" s="10" t="s">
        <v>116</v>
      </c>
      <c r="F33" s="10" t="s">
        <v>77</v>
      </c>
      <c r="G33" s="10" t="s">
        <v>223</v>
      </c>
      <c r="H33" s="10" t="s">
        <v>224</v>
      </c>
      <c r="I33" s="10" t="s">
        <v>80</v>
      </c>
      <c r="J33" s="10" t="s">
        <v>135</v>
      </c>
      <c r="K33" s="10" t="s">
        <v>9</v>
      </c>
      <c r="L33" s="10" t="s">
        <v>43</v>
      </c>
      <c r="M33" t="s">
        <v>43</v>
      </c>
    </row>
    <row r="34" ht="48" customHeight="1">
      <c r="A34" s="8" t="s">
        <v>22</v>
      </c>
      <c r="B34" s="9" t="s">
        <v>225</v>
      </c>
      <c r="C34" s="10" t="s">
        <v>226</v>
      </c>
      <c r="D34" s="10" t="s">
        <v>227</v>
      </c>
      <c r="E34" s="10" t="s">
        <v>228</v>
      </c>
      <c r="F34" s="10" t="s">
        <v>229</v>
      </c>
      <c r="G34" s="10" t="s">
        <v>230</v>
      </c>
      <c r="H34" s="10" t="s">
        <v>231</v>
      </c>
      <c r="I34" s="10" t="s">
        <v>159</v>
      </c>
      <c r="J34" s="10" t="s">
        <v>232</v>
      </c>
      <c r="K34" s="10" t="s">
        <v>9</v>
      </c>
      <c r="L34" s="10" t="s">
        <v>43</v>
      </c>
      <c r="M34" t="s">
        <v>43</v>
      </c>
    </row>
    <row r="35" ht="48" customHeight="1">
      <c r="A35" s="8" t="s">
        <v>22</v>
      </c>
      <c r="B35" s="9" t="s">
        <v>233</v>
      </c>
      <c r="C35" s="10" t="s">
        <v>234</v>
      </c>
      <c r="D35" s="10" t="s">
        <v>235</v>
      </c>
      <c r="E35" s="10" t="s">
        <v>150</v>
      </c>
      <c r="F35" s="10" t="s">
        <v>229</v>
      </c>
      <c r="G35" s="10" t="s">
        <v>236</v>
      </c>
      <c r="H35" s="10" t="s">
        <v>237</v>
      </c>
      <c r="I35" s="10" t="s">
        <v>159</v>
      </c>
      <c r="J35" s="10" t="s">
        <v>232</v>
      </c>
      <c r="K35" s="10" t="s">
        <v>9</v>
      </c>
      <c r="L35" s="10" t="s">
        <v>43</v>
      </c>
      <c r="M35" t="s">
        <v>43</v>
      </c>
    </row>
    <row r="36" ht="48" customHeight="1">
      <c r="A36" s="8" t="s">
        <v>22</v>
      </c>
      <c r="B36" s="9" t="s">
        <v>238</v>
      </c>
      <c r="C36" s="10" t="s">
        <v>239</v>
      </c>
      <c r="D36" s="10" t="s">
        <v>240</v>
      </c>
      <c r="E36" s="10" t="s">
        <v>229</v>
      </c>
      <c r="F36" s="10" t="s">
        <v>229</v>
      </c>
      <c r="G36" s="10" t="s">
        <v>241</v>
      </c>
      <c r="H36" s="10" t="s">
        <v>242</v>
      </c>
      <c r="I36" s="10" t="s">
        <v>159</v>
      </c>
      <c r="J36" s="10" t="s">
        <v>243</v>
      </c>
      <c r="K36" s="10" t="s">
        <v>9</v>
      </c>
      <c r="L36" s="10" t="s">
        <v>43</v>
      </c>
      <c r="M36" t="s">
        <v>43</v>
      </c>
    </row>
    <row r="37" ht="48" customHeight="1">
      <c r="A37" s="11"/>
      <c r="B37" s="12"/>
    </row>
    <row r="38" ht="48" customHeight="1">
      <c r="A38" s="11"/>
      <c r="B38" s="1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id="{1EB17D35-77ED-4D73-AFA9-55284528DBF6}">
            <xm:f>"Complete"</xm:f>
            <x14:dxf>
              <font>
                <b/>
                <color rgb="FF2F6B2F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K2:K38</xm:sqref>
        </x14:conditionalFormatting>
        <x14:conditionalFormatting xmlns:xm="http://schemas.microsoft.com/office/excel/2006/main">
          <x14:cfRule type="cellIs" priority="2" id="{13EA4130-8E9B-4E58-A2A1-A8546F3FE8D5}">
            <xm:f>"In Progress"</xm:f>
            <x14:dxf>
              <font>
                <b/>
                <color rgb="FF9C6500"/>
              </font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K2:K38</xm:sqref>
        </x14:conditionalFormatting>
        <x14:conditionalFormatting xmlns:xm="http://schemas.microsoft.com/office/excel/2006/main">
          <x14:cfRule type="cellIs" priority="3" id="{283D469B-2C5A-4F91-8CFB-9BB03C92478A}">
            <xm:f>"Blocked"</xm:f>
            <x14:dxf>
              <font>
                <b/>
                <color rgb="FF9C0006"/>
              </font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K2:K38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C418EA13-F300-4EBE-B7FD-7BEE6D9E760F}" type="list" allowBlank="0" errorStyle="stop" imeMode="noControl" operator="between" showDropDown="0" showErrorMessage="0" showInputMessage="0">
          <x14:formula1>
            <xm:f>"Not Started,In Progress,Complete,Blocked"</xm:f>
          </x14:formula1>
          <xm:sqref>K2:K38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width="24"/>
    <col customWidth="1" min="2" max="2" width="36"/>
    <col customWidth="1" min="3" max="3" width="48"/>
    <col customWidth="1" min="4" max="4" width="58"/>
    <col customWidth="1" min="5" max="5" width="48"/>
  </cols>
  <sheetData>
    <row r="1">
      <c r="A1" s="3" t="s">
        <v>244</v>
      </c>
      <c r="B1" s="3" t="s">
        <v>245</v>
      </c>
      <c r="C1" s="3" t="s">
        <v>246</v>
      </c>
      <c r="D1" s="3" t="s">
        <v>247</v>
      </c>
      <c r="E1" s="3" t="s">
        <v>248</v>
      </c>
    </row>
    <row r="2" ht="60" customHeight="1">
      <c r="A2" s="10" t="s">
        <v>249</v>
      </c>
      <c r="B2" s="10" t="s">
        <v>55</v>
      </c>
      <c r="C2" s="10" t="s">
        <v>250</v>
      </c>
      <c r="D2" s="10" t="s">
        <v>251</v>
      </c>
      <c r="E2" s="10" t="s">
        <v>252</v>
      </c>
    </row>
    <row r="3" ht="60" customHeight="1">
      <c r="A3" s="10" t="s">
        <v>253</v>
      </c>
      <c r="B3" s="10" t="s">
        <v>254</v>
      </c>
      <c r="C3" s="10" t="s">
        <v>255</v>
      </c>
      <c r="D3" s="10" t="s">
        <v>256</v>
      </c>
      <c r="E3" s="10" t="s">
        <v>257</v>
      </c>
    </row>
    <row r="4" ht="60" customHeight="1">
      <c r="A4" s="10" t="s">
        <v>258</v>
      </c>
      <c r="B4" s="10" t="s">
        <v>77</v>
      </c>
      <c r="C4" s="10" t="s">
        <v>259</v>
      </c>
      <c r="D4" s="10" t="s">
        <v>260</v>
      </c>
      <c r="E4" s="10" t="s">
        <v>261</v>
      </c>
    </row>
    <row r="5" ht="60" customHeight="1">
      <c r="A5" s="10" t="s">
        <v>262</v>
      </c>
      <c r="B5" s="10" t="s">
        <v>263</v>
      </c>
      <c r="C5" s="10" t="s">
        <v>264</v>
      </c>
      <c r="D5" s="10" t="s">
        <v>265</v>
      </c>
      <c r="E5" s="10" t="s">
        <v>266</v>
      </c>
    </row>
    <row r="6" ht="60" customHeight="1">
      <c r="A6" s="10" t="s">
        <v>267</v>
      </c>
      <c r="B6" s="10" t="s">
        <v>268</v>
      </c>
      <c r="C6" s="10" t="s">
        <v>269</v>
      </c>
      <c r="D6" s="10" t="s">
        <v>270</v>
      </c>
      <c r="E6" s="10" t="s">
        <v>271</v>
      </c>
    </row>
    <row r="7" ht="60" customHeight="1">
      <c r="A7" s="10" t="s">
        <v>272</v>
      </c>
      <c r="B7" s="10" t="s">
        <v>273</v>
      </c>
      <c r="C7" s="10" t="s">
        <v>274</v>
      </c>
      <c r="D7" s="10" t="s">
        <v>275</v>
      </c>
      <c r="E7" s="10" t="s">
        <v>276</v>
      </c>
    </row>
    <row r="8" ht="60" customHeight="1">
      <c r="A8" s="10" t="s">
        <v>277</v>
      </c>
      <c r="B8" s="10" t="s">
        <v>273</v>
      </c>
      <c r="C8" s="10" t="s">
        <v>278</v>
      </c>
      <c r="D8" s="10" t="s">
        <v>279</v>
      </c>
      <c r="E8" s="10" t="s">
        <v>280</v>
      </c>
    </row>
    <row r="9">
      <c r="A9" s="10" t="s">
        <v>281</v>
      </c>
      <c r="B9" s="10" t="s">
        <v>282</v>
      </c>
      <c r="C9" s="10" t="s">
        <v>283</v>
      </c>
      <c r="D9" s="10" t="s">
        <v>284</v>
      </c>
      <c r="E9" s="10" t="s">
        <v>285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8"/>
    <col customWidth="1" min="2" max="2" width="80"/>
    <col customWidth="1" min="3" max="3" width="58"/>
  </cols>
  <sheetData>
    <row r="1">
      <c r="A1" s="3" t="s">
        <v>33</v>
      </c>
      <c r="B1" s="3" t="s">
        <v>286</v>
      </c>
      <c r="C1" s="3" t="s">
        <v>287</v>
      </c>
    </row>
    <row r="2" ht="42" customHeight="1">
      <c r="A2" s="10" t="s">
        <v>288</v>
      </c>
      <c r="B2" s="10" t="s">
        <v>43</v>
      </c>
      <c r="C2" s="10" t="s">
        <v>289</v>
      </c>
    </row>
    <row r="3" ht="42" customHeight="1">
      <c r="A3" s="10" t="s">
        <v>290</v>
      </c>
      <c r="B3" s="10" t="s">
        <v>291</v>
      </c>
      <c r="C3" s="10" t="s">
        <v>292</v>
      </c>
    </row>
    <row r="4" ht="42" customHeight="1">
      <c r="A4" s="10" t="s">
        <v>293</v>
      </c>
      <c r="B4" s="10" t="s">
        <v>294</v>
      </c>
      <c r="C4" s="10" t="s">
        <v>295</v>
      </c>
    </row>
    <row r="5" ht="42" customHeight="1">
      <c r="A5" s="10" t="s">
        <v>296</v>
      </c>
      <c r="B5" s="10" t="s">
        <v>297</v>
      </c>
      <c r="C5" s="10" t="s">
        <v>298</v>
      </c>
    </row>
    <row r="6" ht="42" customHeight="1">
      <c r="A6" s="10" t="s">
        <v>299</v>
      </c>
      <c r="B6" s="10" t="s">
        <v>300</v>
      </c>
      <c r="C6" s="10" t="s">
        <v>301</v>
      </c>
    </row>
    <row r="7" ht="42" customHeight="1">
      <c r="A7" s="10" t="s">
        <v>302</v>
      </c>
      <c r="B7" s="10" t="s">
        <v>303</v>
      </c>
      <c r="C7" s="10" t="s">
        <v>304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