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65013c861147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9537a7919994629"/>
    <x:sheet xmlns:r="http://schemas.openxmlformats.org/officeDocument/2006/relationships" name="Lab Checklist" sheetId="2" r:id="Rd3a6d8cb8d7549b5"/>
    <x:sheet xmlns:r="http://schemas.openxmlformats.org/officeDocument/2006/relationships" name="Roadmap" sheetId="3" r:id="R8aaf7eb3351d4946"/>
    <x:sheet xmlns:r="http://schemas.openxmlformats.org/officeDocument/2006/relationships" name="Capstones" sheetId="4" r:id="Rf7415980075e4cb4"/>
    <x:sheet xmlns:r="http://schemas.openxmlformats.org/officeDocument/2006/relationships" name="Practice Log" sheetId="5" r:id="R30b84e6753064ca0"/>
    <x:sheet xmlns:r="http://schemas.openxmlformats.org/officeDocument/2006/relationships" name="Guide" sheetId="6" r:id="R85aa0d95c14a4b6c"/>
    <x:sheet xmlns:r="http://schemas.openxmlformats.org/officeDocument/2006/relationships" name="Lists" sheetId="7" r:id="Re88aebc9e4b448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1">
    <x:font>
      <x:sz val="11"/>
      <x:name val="Carlito"/>
    </x:font>
    <x:font>
      <x:sz val="10"/>
      <x:color rgb="FF172033"/>
      <x:name val="Aptos"/>
    </x:font>
    <x:font>
      <x:b/>
      <x:sz val="10"/>
      <x:color rgb="FFFFFFFF"/>
      <x:name val="Aptos"/>
    </x:font>
    <x:font>
      <x:b/>
      <x:sz val="22"/>
      <x:color rgb="FFFFFFFF"/>
      <x:name val="Aptos Display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b/>
      <x:sz val="18"/>
      <x:color rgb="FF17365D"/>
      <x:name val="Carlito"/>
    </x:font>
    <x:font>
      <x:sz val="11"/>
      <x:color rgb="FF7F6000"/>
      <x:name val="Carlito"/>
    </x:font>
    <x:font>
      <x:b/>
      <x:sz val="20"/>
      <x:color rgb="FFFFFFFF"/>
      <x:name val="Carlito"/>
    </x:font>
    <x:font>
      <x:b/>
      <x:sz val="11"/>
      <x:color rgb="FF7F6000"/>
      <x:name val="Carlito"/>
    </x:font>
    <x:font>
      <x:sz val="9"/>
      <x:color rgb="FF385723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B1F33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F4F8FC"/>
      </x:patternFill>
    </x:fill>
    <x:fill>
      <x:patternFill patternType="solid">
        <x:fgColor rgb="FFED7D31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</x:fills>
  <x:borders count="14">
    <x:border/>
    <x:border>
      <x:left style="medium">
        <x:color rgb="FF5B9BD5"/>
      </x:left>
      <x:top style="medium">
        <x:color rgb="FF5B9BD5"/>
      </x:top>
    </x:border>
    <x:border>
      <x:right style="medium">
        <x:color rgb="FF5B9BD5"/>
      </x:right>
      <x:top style="medium">
        <x:color rgb="FF5B9BD5"/>
      </x:top>
    </x:border>
    <x:border>
      <x:left style="medium">
        <x:color rgb="FF5B9BD5"/>
      </x:left>
      <x:bottom style="medium">
        <x:color rgb="FF5B9BD5"/>
      </x:bottom>
    </x:border>
    <x:border>
      <x:right style="medium">
        <x:color rgb="FF5B9BD5"/>
      </x:right>
      <x:bottom style="medium">
        <x:color rgb="FF5B9BD5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71">
    <x:xf numFmtId="0" fontId="0" fillId="0" borderId="0" xfId="0"/>
    <x:xf numFmtId="200" fontId="0" fillId="0" borderId="0" xfId="0" applyNumberFormat="1" applyFont="1" applyFill="1" applyBorder="1"/>
    <x:xf numFmtId="0" fontId="1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201" fontId="0" fillId="0" borderId="3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0" fillId="6" borderId="3" xfId="0" applyNumberFormat="1" applyFont="1" applyFill="1" applyBorder="1"/>
    <x:xf numFmtId="0" fontId="0" fillId="6" borderId="4" xfId="0" applyNumberFormat="1" applyFont="1" applyFill="1" applyBorder="1"/>
    <x:xf numFmtId="0" fontId="0" fillId="6" borderId="0" xfId="0" applyNumberFormat="1" applyFont="1" applyFill="1" applyBorder="1"/>
    <x:xf numFmtId="201" fontId="0" fillId="6" borderId="3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0" xfId="0" applyNumberFormat="1" applyFont="1" applyFill="1" applyBorder="1"/>
    <x:xf numFmtId="201" fontId="6" fillId="6" borderId="3" xfId="0" applyNumberFormat="1" applyFont="1" applyFill="1" applyBorder="1"/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201" fontId="6" fillId="6" borderId="3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1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1" fontId="0" fillId="0" borderId="13" xfId="0" applyNumberFormat="1" applyFont="1" applyFill="1" applyBorder="1"/>
    <x:xf numFmtId="0" fontId="0" fillId="2" borderId="5" xfId="0" applyNumberFormat="1" applyFont="1" applyFill="1" applyBorder="1"/>
    <x:xf numFmtId="0" fontId="0" fillId="2" borderId="6" xfId="0" applyNumberFormat="1" applyFont="1" applyFill="1" applyBorder="1"/>
    <x:xf numFmtId="0" fontId="0" fillId="2" borderId="7" xfId="0" applyNumberFormat="1" applyFont="1" applyFill="1" applyBorder="1"/>
    <x:xf numFmtId="0" fontId="5" fillId="2" borderId="5" xfId="0" applyNumberFormat="1" applyFont="1" applyFill="1" applyBorder="1"/>
    <x:xf numFmtId="0" fontId="5" fillId="2" borderId="6" xfId="0" applyNumberFormat="1" applyFont="1" applyFill="1" applyBorder="1"/>
    <x:xf numFmtId="0" fontId="5" fillId="2" borderId="7" xfId="0" applyNumberFormat="1" applyFont="1" applyFill="1" applyBorder="1"/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top" wrapText="1"/>
    </x:xf>
    <x:xf numFmtId="0" fontId="8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F2CC"/>
        </x:patternFill>
      </x:fill>
    </x:dxf>
    <x:dxf>
      <x:font>
        <x:color rgb="FF9C0006"/>
      </x:font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ccac25a91b4b1d" /><Relationship Type="http://schemas.openxmlformats.org/officeDocument/2006/relationships/theme" Target="/xl/theme/theme1.xml" Id="Rdb4aabda2e8345ce" /><Relationship Type="http://schemas.openxmlformats.org/officeDocument/2006/relationships/sharedStrings" Target="/xl/sharedStrings.xml" Id="R5fce3bdfe9e44860" /><Relationship Type="http://schemas.openxmlformats.org/officeDocument/2006/relationships/worksheet" Target="/xl/worksheets/sheet1.xml" Id="R99537a7919994629" /><Relationship Type="http://schemas.openxmlformats.org/officeDocument/2006/relationships/worksheet" Target="/xl/worksheets/sheet2.xml" Id="Rd3a6d8cb8d7549b5" /><Relationship Type="http://schemas.openxmlformats.org/officeDocument/2006/relationships/worksheet" Target="/xl/worksheets/sheet3.xml" Id="R8aaf7eb3351d4946" /><Relationship Type="http://schemas.openxmlformats.org/officeDocument/2006/relationships/worksheet" Target="/xl/worksheets/sheet4.xml" Id="Rf7415980075e4cb4" /><Relationship Type="http://schemas.openxmlformats.org/officeDocument/2006/relationships/worksheet" Target="/xl/worksheets/sheet5.xml" Id="R30b84e6753064ca0" /><Relationship Type="http://schemas.openxmlformats.org/officeDocument/2006/relationships/worksheet" Target="/xl/worksheets/sheet6.xml" Id="R85aa0d95c14a4b6c" /><Relationship Type="http://schemas.openxmlformats.org/officeDocument/2006/relationships/worksheet" Target="/xl/worksheets/sheet7.xml" Id="Re88aebc9e4b448be" /></Relationships>
</file>

<file path=xl/tables/table1.xml><?xml version="1.0" encoding="utf-8"?>
<x:table xmlns:x="http://schemas.openxmlformats.org/spreadsheetml/2006/main" id="1" name="LabChecklistTable" displayName="LabChecklistTable" ref="A1:Q124" headerRowCount="1" totalsRowCount="0" totalsRowShown="0">
  <x:tableColumns count="17">
    <x:tableColumn id="1" name="Lab ID"/>
    <x:tableColumn id="2" name="Phase"/>
    <x:tableColumn id="3" name="Domain"/>
    <x:tableColumn id="4" name="Track"/>
    <x:tableColumn id="5" name="Lab / Scenario"/>
    <x:tableColumn id="6" name="Mastery Outcome"/>
    <x:tableColumn id="7" name="Suggested Topology"/>
    <x:tableColumn id="8" name="Est. Hours"/>
    <x:tableColumn id="9" name="Difficulty"/>
    <x:tableColumn id="10" name="Priority"/>
    <x:tableColumn id="11" name="Dependency"/>
    <x:tableColumn id="12" name="Status"/>
    <x:tableColumn id="13" name="Confidence (0-5)"/>
    <x:tableColumn id="14" name="Evidence Link / Folder"/>
    <x:tableColumn id="15" name="Completed Date"/>
    <x:tableColumn id="16" name="Required Evidence"/>
    <x:tableColumn id="17" name="Notes / Gap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3:G15" headerRowCount="1" totalsRowCount="0" totalsRowShown="0">
  <x:tableColumns count="7">
    <x:tableColumn id="1" name="Phase"/>
    <x:tableColumn id="2" name="Primary Goal"/>
    <x:tableColumn id="3" name="Exit Gate"/>
    <x:tableColumn id="4" name="Labs"/>
    <x:tableColumn id="5" name="Est. Hours"/>
    <x:tableColumn id="6" name="Suggested Weeks"/>
    <x:tableColumn id="7" name="Why It Matt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pstoneTable" displayName="CapstoneTable" ref="A3:H11" headerRowCount="1" totalsRowCount="0" totalsRowShown="0">
  <x:tableColumns count="8">
    <x:tableColumn id="1" name="Attempt"/>
    <x:tableColumn id="2" name="Scenario"/>
    <x:tableColumn id="3" name="Date"/>
    <x:tableColumn id="4" name="Build %"/>
    <x:tableColumn id="5" name="Troubleshoot %"/>
    <x:tableColumn id="6" name="Verification %"/>
    <x:tableColumn id="7" name="Time Mgmt %"/>
    <x:tableColumn id="8" name="Overall %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acticeLogTable" displayName="PracticeLogTable" ref="A1:J201" headerRowCount="1" totalsRowCount="0" totalsRowShown="0">
  <x:tableColumns count="10">
    <x:tableColumn id="1" name="Date"/>
    <x:tableColumn id="2" name="Lab ID"/>
    <x:tableColumn id="3" name="Minutes"/>
    <x:tableColumn id="4" name="Mode"/>
    <x:tableColumn id="5" name="Result"/>
    <x:tableColumn id="6" name="Fault / Gap Found"/>
    <x:tableColumn id="7" name="Root Cause"/>
    <x:tableColumn id="8" name="Next Action"/>
    <x:tableColumn id="9" name="Evidence Link"/>
    <x:tableColumn id="10" name="Revisit Da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3:C13" headerRowCount="1" totalsRowCount="0" totalsRowShown="0">
  <x:tableColumns count="3">
    <x:tableColumn id="1" name="Step"/>
    <x:tableColumn id="2" name="Action"/>
    <x:tableColumn id="3" name="Standar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MasteryTable" displayName="MasteryTable" ref="A17:B23" headerRowCount="1" totalsRowCount="0" totalsRowShown="0">
  <x:tableColumns count="2">
    <x:tableColumn id="1" name="Dimension"/>
    <x:tableColumn id="2" name="Completion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6968ead9c0c444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bab42737cfe483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3ae4b164d2946f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e2a517f87c0414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9e230c97bcf4aa3" /><Relationship Type="http://schemas.openxmlformats.org/officeDocument/2006/relationships/table" Target="/xl/tables/table6.xml" Id="Rab569895f743442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11" t="str">
        <x:v>JNCIE-SP → Juniper SP Engineer Lab Roadmap</x:v>
      </x:c>
      <x:c r="B1" s="11"/>
      <x:c r="C1" s="11"/>
      <x:c r="D1" s="11"/>
      <x:c r="E1" s="11"/>
      <x:c r="F1" s="11"/>
      <x:c r="G1" s="11"/>
      <x:c r="H1" s="11"/>
    </x:row>
    <x:row r="2">
      <x:c r="A2" s="11"/>
      <x:c r="B2" s="11"/>
      <x:c r="C2" s="11"/>
      <x:c r="D2" s="11"/>
      <x:c r="E2" s="11"/>
      <x:c r="F2" s="11"/>
      <x:c r="G2" s="11"/>
      <x:c r="H2" s="11"/>
    </x:row>
    <x:row r="3">
      <x:c r="A3" s="14" t="str">
        <x:v>Built for a CCIE R&amp;S engineer: compressed fundamentals, heavy Junos behavior, services, fault isolation, and production discipline.</x:v>
      </x:c>
      <x:c r="B3" s="14"/>
      <x:c r="C3" s="14"/>
      <x:c r="D3" s="14"/>
      <x:c r="E3" s="14"/>
      <x:c r="F3" s="14"/>
      <x:c r="G3" s="14"/>
      <x:c r="H3" s="14"/>
    </x:row>
    <x:row r="5">
      <x:c r="A5" s="27" t="str">
        <x:v>Total Labs</x:v>
      </x:c>
      <x:c r="B5" s="28" t="str">
        <x:v>Completed</x:v>
      </x:c>
      <x:c r="C5" s="29"/>
      <x:c r="D5" s="27" t="str">
        <x:v>In Progress</x:v>
      </x:c>
      <x:c r="E5" s="28" t="str">
        <x:v>Total Hours</x:v>
      </x:c>
      <x:c r="F5" s="29"/>
      <x:c r="G5" s="27" t="str">
        <x:v>Completion</x:v>
      </x:c>
      <x:c r="H5" s="28" t="str">
        <x:v>Hours Done</x:v>
      </x:c>
    </x:row>
    <x:row r="6">
      <x:c r="A6" s="38" t="n">
        <x:f>COUNTA('Lab Checklist'!$A$2:$A$124)</x:f>
        <x:v>123</x:v>
      </x:c>
      <x:c r="B6" s="39" t="n">
        <x:f>COUNTIF('Lab Checklist'!$L$2:$L$124,"*Completed*")</x:f>
        <x:v>0</x:v>
      </x:c>
      <x:c r="C6" s="40"/>
      <x:c r="D6" s="38" t="n">
        <x:f>COUNTIF('Lab Checklist'!$L$2:$L$124,"*In Progress*")</x:f>
        <x:v>0</x:v>
      </x:c>
      <x:c r="E6" s="39" t="n">
        <x:f>SUM('Lab Checklist'!$H$2:$H$124)</x:f>
        <x:v>488</x:v>
      </x:c>
      <x:c r="F6" s="40"/>
      <x:c r="G6" s="41" t="n">
        <x:f>IFERROR(B6/A6,0)</x:f>
        <x:v>0</x:v>
      </x:c>
      <x:c r="H6" s="39" t="n">
        <x:f>SUMIF('Lab Checklist'!$L$2:$L$124,"*Completed*",'Lab Checklist'!$H$2:$H$124)</x:f>
        <x:v>0</x:v>
      </x:c>
    </x:row>
    <x:row r="8">
      <x:c r="A8" s="54" t="str">
        <x:v>Phase</x:v>
      </x:c>
      <x:c r="B8" s="55" t="str">
        <x:v>Labs</x:v>
      </x:c>
      <x:c r="C8" s="55" t="str">
        <x:v>Completed</x:v>
      </x:c>
      <x:c r="D8" s="56" t="str">
        <x:v>Progress</x:v>
      </x:c>
      <x:c r="F8" s="59" t="str">
        <x:v>Recommended cadence</x:v>
      </x:c>
      <x:c r="G8" s="59"/>
      <x:c r="H8" s="59"/>
    </x:row>
    <x:row r="9">
      <x:c r="A9" s="45" t="str">
        <x:v>1. Junos Core Skills</x:v>
      </x:c>
      <x:c r="B9" s="46" t="n">
        <x:v>10</x:v>
      </x:c>
      <x:c r="C9" s="46" t="n">
        <x:f>COUNTIFS('Lab Checklist'!$B$2:$B$124,A9,'Lab Checklist'!$L$2:$L$124,"*Completed*")</x:f>
        <x:v>0</x:v>
      </x:c>
      <x:c r="D9" s="47" t="n">
        <x:f>IFERROR(C9/B9,0)</x:f>
        <x:v>0</x:v>
      </x:c>
      <x:c r="F9" s="63" t="str">
        <x:v>5 days/week
• 2 build labs
• 1 troubleshooting rebuild
• 1 review/flashcard session
• 1 timed integration block
Do not mark complete until you can rebuild from a blank config, explain the control plane, prove the data plane, and repair a seeded fault without a recipe.</x:v>
      </x:c>
      <x:c r="G9" s="63"/>
      <x:c r="H9" s="63"/>
    </x:row>
    <x:row r="10">
      <x:c r="A10" s="45" t="str">
        <x:v>2. IGP Engineering</x:v>
      </x:c>
      <x:c r="B10" s="46" t="n">
        <x:v>12</x:v>
      </x:c>
      <x:c r="C10" s="46" t="n">
        <x:f>COUNTIFS('Lab Checklist'!$B$2:$B$124,A10,'Lab Checklist'!$L$2:$L$124,"*Completed*")</x:f>
        <x:v>0</x:v>
      </x:c>
      <x:c r="D10" s="47" t="n">
        <x:f>IFERROR(C10/B10,0)</x:f>
        <x:v>0</x:v>
      </x:c>
      <x:c r="F10" s="63"/>
      <x:c r="G10" s="63"/>
      <x:c r="H10" s="63"/>
    </x:row>
    <x:row r="11">
      <x:c r="A11" s="45" t="str">
        <x:v>3. BGP at Scale</x:v>
      </x:c>
      <x:c r="B11" s="46" t="n">
        <x:v>12</x:v>
      </x:c>
      <x:c r="C11" s="46" t="n">
        <x:f>COUNTIFS('Lab Checklist'!$B$2:$B$124,A11,'Lab Checklist'!$L$2:$L$124,"*Completed*")</x:f>
        <x:v>0</x:v>
      </x:c>
      <x:c r="D11" s="47" t="n">
        <x:f>IFERROR(C11/B11,0)</x:f>
        <x:v>0</x:v>
      </x:c>
      <x:c r="F11" s="63"/>
      <x:c r="G11" s="63"/>
      <x:c r="H11" s="63"/>
    </x:row>
    <x:row r="12">
      <x:c r="A12" s="45" t="str">
        <x:v>4. MPLS Transport</x:v>
      </x:c>
      <x:c r="B12" s="46" t="n">
        <x:v>14</x:v>
      </x:c>
      <x:c r="C12" s="46" t="n">
        <x:f>COUNTIFS('Lab Checklist'!$B$2:$B$124,A12,'Lab Checklist'!$L$2:$L$124,"*Completed*")</x:f>
        <x:v>0</x:v>
      </x:c>
      <x:c r="D12" s="47" t="n">
        <x:f>IFERROR(C12/B12,0)</x:f>
        <x:v>0</x:v>
      </x:c>
      <x:c r="F12" s="63"/>
      <x:c r="G12" s="63"/>
      <x:c r="H12" s="63"/>
    </x:row>
    <x:row r="13">
      <x:c r="A13" s="45" t="str">
        <x:v>5. Segment Routing</x:v>
      </x:c>
      <x:c r="B13" s="46" t="n">
        <x:v>8</x:v>
      </x:c>
      <x:c r="C13" s="46" t="n">
        <x:f>COUNTIFS('Lab Checklist'!$B$2:$B$124,A13,'Lab Checklist'!$L$2:$L$124,"*Completed*")</x:f>
        <x:v>0</x:v>
      </x:c>
      <x:c r="D13" s="47" t="n">
        <x:f>IFERROR(C13/B13,0)</x:f>
        <x:v>0</x:v>
      </x:c>
      <x:c r="F13" s="63"/>
      <x:c r="G13" s="63"/>
      <x:c r="H13" s="63"/>
    </x:row>
    <x:row r="14">
      <x:c r="A14" s="45" t="str">
        <x:v>6. Layer 3 VPN</x:v>
      </x:c>
      <x:c r="B14" s="46" t="n">
        <x:v>12</x:v>
      </x:c>
      <x:c r="C14" s="46" t="n">
        <x:f>COUNTIFS('Lab Checklist'!$B$2:$B$124,A14,'Lab Checklist'!$L$2:$L$124,"*Completed*")</x:f>
        <x:v>0</x:v>
      </x:c>
      <x:c r="D14" s="47" t="n">
        <x:f>IFERROR(C14/B14,0)</x:f>
        <x:v>0</x:v>
      </x:c>
      <x:c r="F14" s="63"/>
      <x:c r="G14" s="63"/>
      <x:c r="H14" s="63"/>
    </x:row>
    <x:row r="15">
      <x:c r="A15" s="45" t="str">
        <x:v>7. Layer 2 Services</x:v>
      </x:c>
      <x:c r="B15" s="46" t="n">
        <x:v>9</x:v>
      </x:c>
      <x:c r="C15" s="46" t="n">
        <x:f>COUNTIFS('Lab Checklist'!$B$2:$B$124,A15,'Lab Checklist'!$L$2:$L$124,"*Completed*")</x:f>
        <x:v>0</x:v>
      </x:c>
      <x:c r="D15" s="47" t="n">
        <x:f>IFERROR(C15/B15,0)</x:f>
        <x:v>0</x:v>
      </x:c>
      <x:c r="F15" s="63"/>
      <x:c r="G15" s="63"/>
      <x:c r="H15" s="63"/>
    </x:row>
    <x:row r="16">
      <x:c r="A16" s="45" t="str">
        <x:v>8. EVPN</x:v>
      </x:c>
      <x:c r="B16" s="46" t="n">
        <x:v>10</x:v>
      </x:c>
      <x:c r="C16" s="46" t="n">
        <x:f>COUNTIFS('Lab Checklist'!$B$2:$B$124,A16,'Lab Checklist'!$L$2:$L$124,"*Completed*")</x:f>
        <x:v>0</x:v>
      </x:c>
      <x:c r="D16" s="47" t="n">
        <x:f>IFERROR(C16/B16,0)</x:f>
        <x:v>0</x:v>
      </x:c>
    </x:row>
    <x:row r="17">
      <x:c r="A17" s="45" t="str">
        <x:v>9. Multicast</x:v>
      </x:c>
      <x:c r="B17" s="46" t="n">
        <x:v>9</x:v>
      </x:c>
      <x:c r="C17" s="46" t="n">
        <x:f>COUNTIFS('Lab Checklist'!$B$2:$B$124,A17,'Lab Checklist'!$L$2:$L$124,"*Completed*")</x:f>
        <x:v>0</x:v>
      </x:c>
      <x:c r="D17" s="47" t="n">
        <x:f>IFERROR(C17/B17,0)</x:f>
        <x:v>0</x:v>
      </x:c>
    </x:row>
    <x:row r="18">
      <x:c r="A18" s="45" t="str">
        <x:v>10. CoS</x:v>
      </x:c>
      <x:c r="B18" s="46" t="n">
        <x:v>7</x:v>
      </x:c>
      <x:c r="C18" s="46" t="n">
        <x:f>COUNTIFS('Lab Checklist'!$B$2:$B$124,A18,'Lab Checklist'!$L$2:$L$124,"*Completed*")</x:f>
        <x:v>0</x:v>
      </x:c>
      <x:c r="D18" s="47" t="n">
        <x:f>IFERROR(C18/B18,0)</x:f>
        <x:v>0</x:v>
      </x:c>
    </x:row>
    <x:row r="19">
      <x:c r="A19" s="45" t="str">
        <x:v>11. Operations &amp; Automation</x:v>
      </x:c>
      <x:c r="B19" s="46" t="n">
        <x:v>10</x:v>
      </x:c>
      <x:c r="C19" s="46" t="n">
        <x:f>COUNTIFS('Lab Checklist'!$B$2:$B$124,A19,'Lab Checklist'!$L$2:$L$124,"*Completed*")</x:f>
        <x:v>0</x:v>
      </x:c>
      <x:c r="D19" s="47" t="n">
        <x:f>IFERROR(C19/B19,0)</x:f>
        <x:v>0</x:v>
      </x:c>
    </x:row>
    <x:row r="20">
      <x:c r="A20" s="48" t="str">
        <x:v>12. Expert Integration</x:v>
      </x:c>
      <x:c r="B20" s="49" t="n">
        <x:v>10</x:v>
      </x:c>
      <x:c r="C20" s="49" t="n">
        <x:f>COUNTIFS('Lab Checklist'!$B$2:$B$124,A20,'Lab Checklist'!$L$2:$L$124,"*Completed*")</x:f>
        <x:v>0</x:v>
      </x:c>
      <x:c r="D20" s="50" t="n">
        <x:f>IFERROR(C20/B20,0)</x:f>
        <x:v>0</x:v>
      </x:c>
    </x:row>
  </x:sheetData>
  <x:mergeCells>
    <x:mergeCell ref="A1:H2"/>
    <x:mergeCell ref="A3:H3"/>
    <x:mergeCell ref="F8:H8"/>
    <x:mergeCell ref="F9:H15"/>
  </x:mergeCells>
  <x:conditionalFormatting sqref="D9:D20">
    <x:cfRule type="dataBar" priority="1">
      <x:dataBar>
        <x:cfvo type="min"/>
        <x:cfvo type="max"/>
        <x:color rgb="FF70AD47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70AD47"/>
            </x14:dataBar>
          </x14:cfRule>
          <xm:sqref>D9:D20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4" hidden="0" customWidth="1"/>
    <x:col min="3" max="3" width="20" hidden="0" customWidth="1"/>
    <x:col min="4" max="4" width="14" hidden="0" customWidth="1"/>
    <x:col min="5" max="5" width="32" hidden="0" customWidth="1"/>
    <x:col min="6" max="6" width="48" hidden="0" customWidth="1"/>
    <x:col min="7" max="7" width="34" hidden="0" customWidth="1"/>
    <x:col min="8" max="8" width="11" hidden="0" customWidth="1"/>
    <x:col min="9" max="9" width="13" hidden="0" customWidth="1"/>
    <x:col min="10" max="10" width="14" hidden="0" customWidth="1"/>
    <x:col min="11" max="11" width="12" hidden="0" customWidth="1"/>
    <x:col min="12" max="12" width="16" hidden="0" customWidth="1"/>
    <x:col min="13" max="13" width="16" hidden="0" customWidth="1"/>
    <x:col min="14" max="14" width="25" hidden="0" customWidth="1"/>
    <x:col min="15" max="15" width="15" hidden="0" customWidth="1"/>
    <x:col min="16" max="16" width="42" hidden="0" customWidth="1"/>
    <x:col min="17" max="17" width="32" hidden="0" customWidth="1"/>
  </x:cols>
  <x:sheetData>
    <x:row r="1" ht="32" customHeight="1">
      <x:c r="A1" s="7" t="str">
        <x:v>Lab ID</x:v>
      </x:c>
      <x:c r="B1" s="7" t="str">
        <x:v>Phase</x:v>
      </x:c>
      <x:c r="C1" s="7" t="str">
        <x:v>Domain</x:v>
      </x:c>
      <x:c r="D1" s="7" t="str">
        <x:v>Track</x:v>
      </x:c>
      <x:c r="E1" s="7" t="str">
        <x:v>Lab / Scenario</x:v>
      </x:c>
      <x:c r="F1" s="7" t="str">
        <x:v>Mastery Outcome</x:v>
      </x:c>
      <x:c r="G1" s="7" t="str">
        <x:v>Suggested Topology</x:v>
      </x:c>
      <x:c r="H1" s="7" t="str">
        <x:v>Est. Hours</x:v>
      </x:c>
      <x:c r="I1" s="7" t="str">
        <x:v>Difficulty</x:v>
      </x:c>
      <x:c r="J1" s="7" t="str">
        <x:v>Priority</x:v>
      </x:c>
      <x:c r="K1" s="7" t="str">
        <x:v>Dependency</x:v>
      </x:c>
      <x:c r="L1" s="7" t="str">
        <x:v>Status</x:v>
      </x:c>
      <x:c r="M1" s="7" t="str">
        <x:v>Confidence (0-5)</x:v>
      </x:c>
      <x:c r="N1" s="7" t="str">
        <x:v>Evidence Link / Folder</x:v>
      </x:c>
      <x:c r="O1" s="7" t="str">
        <x:v>Completed Date</x:v>
      </x:c>
      <x:c r="P1" s="7" t="str">
        <x:v>Required Evidence</x:v>
      </x:c>
      <x:c r="Q1" s="7" t="str">
        <x:v>Notes / Gap</x:v>
      </x:c>
    </x:row>
    <x:row r="2">
      <x:c r="A2" s="2" t="str">
        <x:v>LAB-001</x:v>
      </x:c>
      <x:c r="B2" s="2" t="str">
        <x:v>1. Junos Core Skills</x:v>
      </x:c>
      <x:c r="C2" s="2" t="str">
        <x:v>Junos &amp; Platform</x:v>
      </x:c>
      <x:c r="D2" s="2" t="str">
        <x:v>Foundation</x:v>
      </x:c>
      <x:c r="E2" s="2" t="str">
        <x:v>Safe configuration workflow</x:v>
      </x:c>
      <x:c r="F2" s="8" t="str">
        <x:v>Use candidate configuration, compare, commit check, confirmed commit, rollback, rescue and configuration groups safely.</x:v>
      </x:c>
      <x:c r="G2" s="8" t="str">
        <x:v>Minimum 4–8 routers as needed; add CE/host/traffic-generator nodes for service validation.</x:v>
      </x:c>
      <x:c r="H2" s="2" t="n">
        <x:v>2</x:v>
      </x:c>
      <x:c r="I2" s="2" t="str">
        <x:v>Intermediate</x:v>
      </x:c>
      <x:c r="J2" s="2" t="str">
        <x:v>Core</x:v>
      </x:c>
      <x:c r="K2" s="2" t="str"/>
      <x:c r="L2" s="2" t="str">
        <x:v>☐ Not Started</x:v>
      </x:c>
      <x:c r="M2" s="2" t="n">
        <x:v>0</x:v>
      </x:c>
      <x:c r="N2" s="2" t="str"/>
      <x:c r="O2" s="3"/>
      <x:c r="P2" s="8" t="str">
        <x:v>Save configs, key show commands, packet/traffic proof, fault notes, and a short root-cause summary.</x:v>
      </x:c>
      <x:c r="Q2" s="8" t="str"/>
    </x:row>
    <x:row r="3">
      <x:c r="A3" s="2" t="str">
        <x:v>LAB-002</x:v>
      </x:c>
      <x:c r="B3" s="2" t="str">
        <x:v>1. Junos Core Skills</x:v>
      </x:c>
      <x:c r="C3" s="2" t="str">
        <x:v>Junos &amp; Platform</x:v>
      </x:c>
      <x:c r="D3" s="2" t="str">
        <x:v>Foundation</x:v>
      </x:c>
      <x:c r="E3" s="2" t="str">
        <x:v>Hierarchy, inheritance and groups</x:v>
      </x:c>
      <x:c r="F3" s="8" t="str">
        <x:v>Build reusable groups, apply-groups-except, interface-range and inspect inherited configuration.</x:v>
      </x:c>
      <x:c r="G3" s="8" t="str">
        <x:v>Minimum 4–8 routers as needed; add CE/host/traffic-generator nodes for service validation.</x:v>
      </x:c>
      <x:c r="H3" s="2" t="n">
        <x:v>2</x:v>
      </x:c>
      <x:c r="I3" s="2" t="str">
        <x:v>Intermediate</x:v>
      </x:c>
      <x:c r="J3" s="2" t="str">
        <x:v>Core</x:v>
      </x:c>
      <x:c r="K3" s="2" t="str">
        <x:v>LAB-001</x:v>
      </x:c>
      <x:c r="L3" s="2" t="str">
        <x:v>☐ Not Started</x:v>
      </x:c>
      <x:c r="M3" s="2" t="n">
        <x:v>0</x:v>
      </x:c>
      <x:c r="N3" s="2" t="str"/>
      <x:c r="O3" s="3"/>
      <x:c r="P3" s="8" t="str">
        <x:v>Save configs, key show commands, packet/traffic proof, fault notes, and a short root-cause summary.</x:v>
      </x:c>
      <x:c r="Q3" s="8" t="str"/>
    </x:row>
    <x:row r="4">
      <x:c r="A4" s="2" t="str">
        <x:v>LAB-003</x:v>
      </x:c>
      <x:c r="B4" s="2" t="str">
        <x:v>1. Junos Core Skills</x:v>
      </x:c>
      <x:c r="C4" s="2" t="str">
        <x:v>Junos &amp; Platform</x:v>
      </x:c>
      <x:c r="D4" s="2" t="str">
        <x:v>Foundation</x:v>
      </x:c>
      <x:c r="E4" s="2" t="str">
        <x:v>Operational CLI mastery</x:v>
      </x:c>
      <x:c r="F4" s="8" t="str">
        <x:v>Filter, match, count, display detail/extensive, monitor, request support information and save evidence efficiently.</x:v>
      </x:c>
      <x:c r="G4" s="8" t="str">
        <x:v>Minimum 4–8 routers as needed; add CE/host/traffic-generator nodes for service validation.</x:v>
      </x:c>
      <x:c r="H4" s="2" t="n">
        <x:v>2</x:v>
      </x:c>
      <x:c r="I4" s="2" t="str">
        <x:v>Intermediate</x:v>
      </x:c>
      <x:c r="J4" s="2" t="str">
        <x:v>Core</x:v>
      </x:c>
      <x:c r="K4" s="2" t="str">
        <x:v>LAB-002</x:v>
      </x:c>
      <x:c r="L4" s="2" t="str">
        <x:v>☐ Not Started</x:v>
      </x:c>
      <x:c r="M4" s="2" t="n">
        <x:v>0</x:v>
      </x:c>
      <x:c r="N4" s="2" t="str"/>
      <x:c r="O4" s="3"/>
      <x:c r="P4" s="8" t="str">
        <x:v>Save configs, key show commands, packet/traffic proof, fault notes, and a short root-cause summary.</x:v>
      </x:c>
      <x:c r="Q4" s="8" t="str"/>
    </x:row>
    <x:row r="5">
      <x:c r="A5" s="2" t="str">
        <x:v>LAB-004</x:v>
      </x:c>
      <x:c r="B5" s="2" t="str">
        <x:v>1. Junos Core Skills</x:v>
      </x:c>
      <x:c r="C5" s="2" t="str">
        <x:v>Junos &amp; Platform</x:v>
      </x:c>
      <x:c r="D5" s="2" t="str">
        <x:v>Foundation</x:v>
      </x:c>
      <x:c r="E5" s="2" t="str">
        <x:v>Routing tables and next-hop resolution</x:v>
      </x:c>
      <x:c r="F5" s="8" t="str">
        <x:v>Trace a route across inet.0, inet.3, mpls.0 and protocol-specific tables including hidden routes.</x:v>
      </x:c>
      <x:c r="G5" s="8" t="str">
        <x:v>Minimum 4–8 routers as needed; add CE/host/traffic-generator nodes for service validation.</x:v>
      </x:c>
      <x:c r="H5" s="2" t="n">
        <x:v>2</x:v>
      </x:c>
      <x:c r="I5" s="2" t="str">
        <x:v>Intermediate</x:v>
      </x:c>
      <x:c r="J5" s="2" t="str">
        <x:v>Core</x:v>
      </x:c>
      <x:c r="K5" s="2" t="str">
        <x:v>LAB-003</x:v>
      </x:c>
      <x:c r="L5" s="2" t="str">
        <x:v>☐ Not Started</x:v>
      </x:c>
      <x:c r="M5" s="2" t="n">
        <x:v>0</x:v>
      </x:c>
      <x:c r="N5" s="2" t="str"/>
      <x:c r="O5" s="3"/>
      <x:c r="P5" s="8" t="str">
        <x:v>Save configs, key show commands, packet/traffic proof, fault notes, and a short root-cause summary.</x:v>
      </x:c>
      <x:c r="Q5" s="8" t="str"/>
    </x:row>
    <x:row r="6">
      <x:c r="A6" s="2" t="str">
        <x:v>LAB-005</x:v>
      </x:c>
      <x:c r="B6" s="2" t="str">
        <x:v>1. Junos Core Skills</x:v>
      </x:c>
      <x:c r="C6" s="2" t="str">
        <x:v>Junos &amp; Platform</x:v>
      </x:c>
      <x:c r="D6" s="2" t="str">
        <x:v>Foundation</x:v>
      </x:c>
      <x:c r="E6" s="2" t="str">
        <x:v>Policy language fundamentals</x:v>
      </x:c>
      <x:c r="F6" s="8" t="str">
        <x:v>Build deterministic term-based import/export policies using prefix lists, communities and subroutines.</x:v>
      </x:c>
      <x:c r="G6" s="8" t="str">
        <x:v>Minimum 4–8 routers as needed; add CE/host/traffic-generator nodes for service validation.</x:v>
      </x:c>
      <x:c r="H6" s="2" t="n">
        <x:v>2</x:v>
      </x:c>
      <x:c r="I6" s="2" t="str">
        <x:v>Intermediate</x:v>
      </x:c>
      <x:c r="J6" s="2" t="str">
        <x:v>Core</x:v>
      </x:c>
      <x:c r="K6" s="2" t="str">
        <x:v>LAB-004</x:v>
      </x:c>
      <x:c r="L6" s="2" t="str">
        <x:v>☐ Not Started</x:v>
      </x:c>
      <x:c r="M6" s="2" t="n">
        <x:v>0</x:v>
      </x:c>
      <x:c r="N6" s="2" t="str"/>
      <x:c r="O6" s="3"/>
      <x:c r="P6" s="8" t="str">
        <x:v>Save configs, key show commands, packet/traffic proof, fault notes, and a short root-cause summary.</x:v>
      </x:c>
      <x:c r="Q6" s="8" t="str"/>
    </x:row>
    <x:row r="7">
      <x:c r="A7" s="2" t="str">
        <x:v>LAB-006</x:v>
      </x:c>
      <x:c r="B7" s="2" t="str">
        <x:v>1. Junos Core Skills</x:v>
      </x:c>
      <x:c r="C7" s="2" t="str">
        <x:v>Junos &amp; Platform</x:v>
      </x:c>
      <x:c r="D7" s="2" t="str">
        <x:v>Foundation</x:v>
      </x:c>
      <x:c r="E7" s="2" t="str">
        <x:v>Policy chains and default actions</x:v>
      </x:c>
      <x:c r="F7" s="8" t="str">
        <x:v>Prove accept/reject behavior across chained policies and protocol defaults.</x:v>
      </x:c>
      <x:c r="G7" s="8" t="str">
        <x:v>Minimum 4–8 routers as needed; add CE/host/traffic-generator nodes for service validation.</x:v>
      </x:c>
      <x:c r="H7" s="2" t="n">
        <x:v>2</x:v>
      </x:c>
      <x:c r="I7" s="2" t="str">
        <x:v>Intermediate</x:v>
      </x:c>
      <x:c r="J7" s="2" t="str">
        <x:v>Core</x:v>
      </x:c>
      <x:c r="K7" s="2" t="str">
        <x:v>LAB-005</x:v>
      </x:c>
      <x:c r="L7" s="2" t="str">
        <x:v>☐ Not Started</x:v>
      </x:c>
      <x:c r="M7" s="2" t="n">
        <x:v>0</x:v>
      </x:c>
      <x:c r="N7" s="2" t="str"/>
      <x:c r="O7" s="3"/>
      <x:c r="P7" s="8" t="str">
        <x:v>Save configs, key show commands, packet/traffic proof, fault notes, and a short root-cause summary.</x:v>
      </x:c>
      <x:c r="Q7" s="8" t="str"/>
    </x:row>
    <x:row r="8">
      <x:c r="A8" s="2" t="str">
        <x:v>LAB-007</x:v>
      </x:c>
      <x:c r="B8" s="2" t="str">
        <x:v>1. Junos Core Skills</x:v>
      </x:c>
      <x:c r="C8" s="2" t="str">
        <x:v>Junos &amp; Platform</x:v>
      </x:c>
      <x:c r="D8" s="2" t="str">
        <x:v>Foundation</x:v>
      </x:c>
      <x:c r="E8" s="2" t="str">
        <x:v>RIB groups and instance import</x:v>
      </x:c>
      <x:c r="F8" s="8" t="str">
        <x:v>Leak selected routes between tables without accidental feedback loops.</x:v>
      </x:c>
      <x:c r="G8" s="8" t="str">
        <x:v>Minimum 4–8 routers as needed; add CE/host/traffic-generator nodes for service validation.</x:v>
      </x:c>
      <x:c r="H8" s="2" t="n">
        <x:v>2</x:v>
      </x:c>
      <x:c r="I8" s="2" t="str">
        <x:v>Intermediate</x:v>
      </x:c>
      <x:c r="J8" s="2" t="str">
        <x:v>Core</x:v>
      </x:c>
      <x:c r="K8" s="2" t="str">
        <x:v>LAB-006</x:v>
      </x:c>
      <x:c r="L8" s="2" t="str">
        <x:v>☐ Not Started</x:v>
      </x:c>
      <x:c r="M8" s="2" t="n">
        <x:v>0</x:v>
      </x:c>
      <x:c r="N8" s="2" t="str"/>
      <x:c r="O8" s="3"/>
      <x:c r="P8" s="8" t="str">
        <x:v>Save configs, key show commands, packet/traffic proof, fault notes, and a short root-cause summary.</x:v>
      </x:c>
      <x:c r="Q8" s="8" t="str"/>
    </x:row>
    <x:row r="9">
      <x:c r="A9" s="2" t="str">
        <x:v>LAB-008</x:v>
      </x:c>
      <x:c r="B9" s="2" t="str">
        <x:v>1. Junos Core Skills</x:v>
      </x:c>
      <x:c r="C9" s="2" t="str">
        <x:v>Junos &amp; Platform</x:v>
      </x:c>
      <x:c r="D9" s="2" t="str">
        <x:v>Foundation</x:v>
      </x:c>
      <x:c r="E9" s="2" t="str">
        <x:v>Routing instances taxonomy</x:v>
      </x:c>
      <x:c r="F9" s="8" t="str">
        <x:v>Demonstrate virtual-router, forwarding, vrf, vpls and evpn instance behavior.</x:v>
      </x:c>
      <x:c r="G9" s="8" t="str">
        <x:v>Minimum 4–8 routers as needed; add CE/host/traffic-generator nodes for service validation.</x:v>
      </x:c>
      <x:c r="H9" s="2" t="n">
        <x:v>2</x:v>
      </x:c>
      <x:c r="I9" s="2" t="str">
        <x:v>Intermediate</x:v>
      </x:c>
      <x:c r="J9" s="2" t="str">
        <x:v>Core</x:v>
      </x:c>
      <x:c r="K9" s="2" t="str">
        <x:v>LAB-007</x:v>
      </x:c>
      <x:c r="L9" s="2" t="str">
        <x:v>☐ Not Started</x:v>
      </x:c>
      <x:c r="M9" s="2" t="n">
        <x:v>0</x:v>
      </x:c>
      <x:c r="N9" s="2" t="str"/>
      <x:c r="O9" s="3"/>
      <x:c r="P9" s="8" t="str">
        <x:v>Save configs, key show commands, packet/traffic proof, fault notes, and a short root-cause summary.</x:v>
      </x:c>
      <x:c r="Q9" s="8" t="str"/>
    </x:row>
    <x:row r="10">
      <x:c r="A10" s="2" t="str">
        <x:v>LAB-009</x:v>
      </x:c>
      <x:c r="B10" s="2" t="str">
        <x:v>1. Junos Core Skills</x:v>
      </x:c>
      <x:c r="C10" s="2" t="str">
        <x:v>Junos &amp; Platform</x:v>
      </x:c>
      <x:c r="D10" s="2" t="str">
        <x:v>Foundation</x:v>
      </x:c>
      <x:c r="E10" s="2" t="str">
        <x:v>Junos automation basics</x:v>
      </x:c>
      <x:c r="F10" s="8" t="str">
        <x:v>Generate set-format config, use load merge/replace/override and validate repeatable deployments.</x:v>
      </x:c>
      <x:c r="G10" s="8" t="str">
        <x:v>Minimum 4–8 routers as needed; add CE/host/traffic-generator nodes for service validation.</x:v>
      </x:c>
      <x:c r="H10" s="2" t="n">
        <x:v>2</x:v>
      </x:c>
      <x:c r="I10" s="2" t="str">
        <x:v>Intermediate</x:v>
      </x:c>
      <x:c r="J10" s="2" t="str">
        <x:v>Core</x:v>
      </x:c>
      <x:c r="K10" s="2" t="str">
        <x:v>LAB-008</x:v>
      </x:c>
      <x:c r="L10" s="2" t="str">
        <x:v>☐ Not Started</x:v>
      </x:c>
      <x:c r="M10" s="2" t="n">
        <x:v>0</x:v>
      </x:c>
      <x:c r="N10" s="2" t="str"/>
      <x:c r="O10" s="3"/>
      <x:c r="P10" s="8" t="str">
        <x:v>Save configs, key show commands, packet/traffic proof, fault notes, and a short root-cause summary.</x:v>
      </x:c>
      <x:c r="Q10" s="8" t="str"/>
    </x:row>
    <x:row r="11">
      <x:c r="A11" s="2" t="str">
        <x:v>LAB-010</x:v>
      </x:c>
      <x:c r="B11" s="2" t="str">
        <x:v>1. Junos Core Skills</x:v>
      </x:c>
      <x:c r="C11" s="2" t="str">
        <x:v>Junos &amp; Platform</x:v>
      </x:c>
      <x:c r="D11" s="2" t="str">
        <x:v>Foundation</x:v>
      </x:c>
      <x:c r="E11" s="2" t="str">
        <x:v>Platform observability</x:v>
      </x:c>
      <x:c r="F11" s="8" t="str">
        <x:v>Correlate RPD, kernel, interface, PFE and chassis state during a controlled fault.</x:v>
      </x:c>
      <x:c r="G11" s="8" t="str">
        <x:v>Minimum 4–8 routers as needed; add CE/host/traffic-generator nodes for service validation.</x:v>
      </x:c>
      <x:c r="H11" s="2" t="n">
        <x:v>2</x:v>
      </x:c>
      <x:c r="I11" s="2" t="str">
        <x:v>Intermediate</x:v>
      </x:c>
      <x:c r="J11" s="2" t="str">
        <x:v>Core</x:v>
      </x:c>
      <x:c r="K11" s="2" t="str">
        <x:v>LAB-009</x:v>
      </x:c>
      <x:c r="L11" s="2" t="str">
        <x:v>☐ Not Started</x:v>
      </x:c>
      <x:c r="M11" s="2" t="n">
        <x:v>0</x:v>
      </x:c>
      <x:c r="N11" s="2" t="str"/>
      <x:c r="O11" s="3"/>
      <x:c r="P11" s="8" t="str">
        <x:v>Save configs, key show commands, packet/traffic proof, fault notes, and a short root-cause summary.</x:v>
      </x:c>
      <x:c r="Q11" s="8" t="str"/>
    </x:row>
    <x:row r="12">
      <x:c r="A12" s="2" t="str">
        <x:v>LAB-011</x:v>
      </x:c>
      <x:c r="B12" s="2" t="str">
        <x:v>2. IGP Engineering</x:v>
      </x:c>
      <x:c r="C12" s="2" t="str">
        <x:v>OSPF &amp; IS-IS</x:v>
      </x:c>
      <x:c r="D12" s="2" t="str">
        <x:v>Core</x:v>
      </x:c>
      <x:c r="E12" s="2" t="str">
        <x:v>OSPF multi-area baseline</x:v>
      </x:c>
      <x:c r="F12" s="8" t="str">
        <x:v>Build areas 0, stub, totally stub and NSSA; validate LSDB scope and route preference.</x:v>
      </x:c>
      <x:c r="G12" s="8" t="str">
        <x:v>Minimum 4–8 routers as needed; add CE/host/traffic-generator nodes for service validation.</x:v>
      </x:c>
      <x:c r="H12" s="2" t="n">
        <x:v>3</x:v>
      </x:c>
      <x:c r="I12" s="2" t="str">
        <x:v>Advanced</x:v>
      </x:c>
      <x:c r="J12" s="2" t="str">
        <x:v>Core</x:v>
      </x:c>
      <x:c r="K12" s="2" t="str"/>
      <x:c r="L12" s="2" t="str">
        <x:v>☐ Not Started</x:v>
      </x:c>
      <x:c r="M12" s="2" t="n">
        <x:v>0</x:v>
      </x:c>
      <x:c r="N12" s="2" t="str"/>
      <x:c r="O12" s="3"/>
      <x:c r="P12" s="8" t="str">
        <x:v>Save configs, key show commands, packet/traffic proof, fault notes, and a short root-cause summary.</x:v>
      </x:c>
      <x:c r="Q12" s="8" t="str"/>
    </x:row>
    <x:row r="13">
      <x:c r="A13" s="2" t="str">
        <x:v>LAB-012</x:v>
      </x:c>
      <x:c r="B13" s="2" t="str">
        <x:v>2. IGP Engineering</x:v>
      </x:c>
      <x:c r="C13" s="2" t="str">
        <x:v>OSPF &amp; IS-IS</x:v>
      </x:c>
      <x:c r="D13" s="2" t="str">
        <x:v>Core</x:v>
      </x:c>
      <x:c r="E13" s="2" t="str">
        <x:v>OSPF route control</x:v>
      </x:c>
      <x:c r="F13" s="8" t="str">
        <x:v>Control internal, external and NSSA routes with export policy, metrics and tags.</x:v>
      </x:c>
      <x:c r="G13" s="8" t="str">
        <x:v>Minimum 4–8 routers as needed; add CE/host/traffic-generator nodes for service validation.</x:v>
      </x:c>
      <x:c r="H13" s="2" t="n">
        <x:v>3</x:v>
      </x:c>
      <x:c r="I13" s="2" t="str">
        <x:v>Advanced</x:v>
      </x:c>
      <x:c r="J13" s="2" t="str">
        <x:v>Core</x:v>
      </x:c>
      <x:c r="K13" s="2" t="str">
        <x:v>LAB-011</x:v>
      </x:c>
      <x:c r="L13" s="2" t="str">
        <x:v>☐ Not Started</x:v>
      </x:c>
      <x:c r="M13" s="2" t="n">
        <x:v>0</x:v>
      </x:c>
      <x:c r="N13" s="2" t="str"/>
      <x:c r="O13" s="3"/>
      <x:c r="P13" s="8" t="str">
        <x:v>Save configs, key show commands, packet/traffic proof, fault notes, and a short root-cause summary.</x:v>
      </x:c>
      <x:c r="Q13" s="8" t="str"/>
    </x:row>
    <x:row r="14">
      <x:c r="A14" s="2" t="str">
        <x:v>LAB-013</x:v>
      </x:c>
      <x:c r="B14" s="2" t="str">
        <x:v>2. IGP Engineering</x:v>
      </x:c>
      <x:c r="C14" s="2" t="str">
        <x:v>OSPF &amp; IS-IS</x:v>
      </x:c>
      <x:c r="D14" s="2" t="str">
        <x:v>Core</x:v>
      </x:c>
      <x:c r="E14" s="2" t="str">
        <x:v>OSPF adjacency edge cases</x:v>
      </x:c>
      <x:c r="F14" s="8" t="str">
        <x:v>Troubleshoot MTU, timer, authentication, network type, area and duplicate RID failures.</x:v>
      </x:c>
      <x:c r="G14" s="8" t="str">
        <x:v>Minimum 4–8 routers as needed; add CE/host/traffic-generator nodes for service validation.</x:v>
      </x:c>
      <x:c r="H14" s="2" t="n">
        <x:v>3</x:v>
      </x:c>
      <x:c r="I14" s="2" t="str">
        <x:v>Advanced</x:v>
      </x:c>
      <x:c r="J14" s="2" t="str">
        <x:v>Core</x:v>
      </x:c>
      <x:c r="K14" s="2" t="str">
        <x:v>LAB-012</x:v>
      </x:c>
      <x:c r="L14" s="2" t="str">
        <x:v>☐ Not Started</x:v>
      </x:c>
      <x:c r="M14" s="2" t="n">
        <x:v>0</x:v>
      </x:c>
      <x:c r="N14" s="2" t="str"/>
      <x:c r="O14" s="3"/>
      <x:c r="P14" s="8" t="str">
        <x:v>Save configs, key show commands, packet/traffic proof, fault notes, and a short root-cause summary.</x:v>
      </x:c>
      <x:c r="Q14" s="8" t="str"/>
    </x:row>
    <x:row r="15">
      <x:c r="A15" s="2" t="str">
        <x:v>LAB-014</x:v>
      </x:c>
      <x:c r="B15" s="2" t="str">
        <x:v>2. IGP Engineering</x:v>
      </x:c>
      <x:c r="C15" s="2" t="str">
        <x:v>OSPF &amp; IS-IS</x:v>
      </x:c>
      <x:c r="D15" s="2" t="str">
        <x:v>Core</x:v>
      </x:c>
      <x:c r="E15" s="2" t="str">
        <x:v>OSPF overload and protection</x:v>
      </x:c>
      <x:c r="F15" s="8" t="str">
        <x:v>Test overload, prefix suppression, passive interfaces, BFD and graceful restart behavior.</x:v>
      </x:c>
      <x:c r="G15" s="8" t="str">
        <x:v>Minimum 4–8 routers as needed; add CE/host/traffic-generator nodes for service validation.</x:v>
      </x:c>
      <x:c r="H15" s="2" t="n">
        <x:v>3</x:v>
      </x:c>
      <x:c r="I15" s="2" t="str">
        <x:v>Advanced</x:v>
      </x:c>
      <x:c r="J15" s="2" t="str">
        <x:v>Core</x:v>
      </x:c>
      <x:c r="K15" s="2" t="str">
        <x:v>LAB-013</x:v>
      </x:c>
      <x:c r="L15" s="2" t="str">
        <x:v>☐ Not Started</x:v>
      </x:c>
      <x:c r="M15" s="2" t="n">
        <x:v>0</x:v>
      </x:c>
      <x:c r="N15" s="2" t="str"/>
      <x:c r="O15" s="3"/>
      <x:c r="P15" s="8" t="str">
        <x:v>Save configs, key show commands, packet/traffic proof, fault notes, and a short root-cause summary.</x:v>
      </x:c>
      <x:c r="Q15" s="8" t="str"/>
    </x:row>
    <x:row r="16">
      <x:c r="A16" s="2" t="str">
        <x:v>LAB-015</x:v>
      </x:c>
      <x:c r="B16" s="2" t="str">
        <x:v>2. IGP Engineering</x:v>
      </x:c>
      <x:c r="C16" s="2" t="str">
        <x:v>OSPF &amp; IS-IS</x:v>
      </x:c>
      <x:c r="D16" s="2" t="str">
        <x:v>Core</x:v>
      </x:c>
      <x:c r="E16" s="2" t="str">
        <x:v>OSPF traffic engineering database</x:v>
      </x:c>
      <x:c r="F16" s="8" t="str">
        <x:v>Enable TE extensions and verify link attributes used by CSPF.</x:v>
      </x:c>
      <x:c r="G16" s="8" t="str">
        <x:v>Minimum 4–8 routers as needed; add CE/host/traffic-generator nodes for service validation.</x:v>
      </x:c>
      <x:c r="H16" s="2" t="n">
        <x:v>3</x:v>
      </x:c>
      <x:c r="I16" s="2" t="str">
        <x:v>Advanced</x:v>
      </x:c>
      <x:c r="J16" s="2" t="str">
        <x:v>Core</x:v>
      </x:c>
      <x:c r="K16" s="2" t="str">
        <x:v>LAB-014</x:v>
      </x:c>
      <x:c r="L16" s="2" t="str">
        <x:v>☐ Not Started</x:v>
      </x:c>
      <x:c r="M16" s="2" t="n">
        <x:v>0</x:v>
      </x:c>
      <x:c r="N16" s="2" t="str"/>
      <x:c r="O16" s="3"/>
      <x:c r="P16" s="8" t="str">
        <x:v>Save configs, key show commands, packet/traffic proof, fault notes, and a short root-cause summary.</x:v>
      </x:c>
      <x:c r="Q16" s="8" t="str"/>
    </x:row>
    <x:row r="17">
      <x:c r="A17" s="2" t="str">
        <x:v>LAB-016</x:v>
      </x:c>
      <x:c r="B17" s="2" t="str">
        <x:v>2. IGP Engineering</x:v>
      </x:c>
      <x:c r="C17" s="2" t="str">
        <x:v>OSPF &amp; IS-IS</x:v>
      </x:c>
      <x:c r="D17" s="2" t="str">
        <x:v>Core</x:v>
      </x:c>
      <x:c r="E17" s="2" t="str">
        <x:v>IS-IS L1/L2 baseline</x:v>
      </x:c>
      <x:c r="F17" s="8" t="str">
        <x:v>Build L1, L2 and L1/L2 domains; validate attached bit, leaking and default behavior.</x:v>
      </x:c>
      <x:c r="G17" s="8" t="str">
        <x:v>Minimum 4–8 routers as needed; add CE/host/traffic-generator nodes for service validation.</x:v>
      </x:c>
      <x:c r="H17" s="2" t="n">
        <x:v>3</x:v>
      </x:c>
      <x:c r="I17" s="2" t="str">
        <x:v>Advanced</x:v>
      </x:c>
      <x:c r="J17" s="2" t="str">
        <x:v>Core</x:v>
      </x:c>
      <x:c r="K17" s="2" t="str">
        <x:v>LAB-015</x:v>
      </x:c>
      <x:c r="L17" s="2" t="str">
        <x:v>☐ Not Started</x:v>
      </x:c>
      <x:c r="M17" s="2" t="n">
        <x:v>0</x:v>
      </x:c>
      <x:c r="N17" s="2" t="str"/>
      <x:c r="O17" s="3"/>
      <x:c r="P17" s="8" t="str">
        <x:v>Save configs, key show commands, packet/traffic proof, fault notes, and a short root-cause summary.</x:v>
      </x:c>
      <x:c r="Q17" s="8" t="str"/>
    </x:row>
    <x:row r="18">
      <x:c r="A18" s="2" t="str">
        <x:v>LAB-017</x:v>
      </x:c>
      <x:c r="B18" s="2" t="str">
        <x:v>2. IGP Engineering</x:v>
      </x:c>
      <x:c r="C18" s="2" t="str">
        <x:v>OSPF &amp; IS-IS</x:v>
      </x:c>
      <x:c r="D18" s="2" t="str">
        <x:v>Core</x:v>
      </x:c>
      <x:c r="E18" s="2" t="str">
        <x:v>IS-IS wide metrics and topology</x:v>
      </x:c>
      <x:c r="F18" s="8" t="str">
        <x:v>Use wide metrics, passive, point-to-point, reference bandwidth and multi-topology concepts.</x:v>
      </x:c>
      <x:c r="G18" s="8" t="str">
        <x:v>Minimum 4–8 routers as needed; add CE/host/traffic-generator nodes for service validation.</x:v>
      </x:c>
      <x:c r="H18" s="2" t="n">
        <x:v>3</x:v>
      </x:c>
      <x:c r="I18" s="2" t="str">
        <x:v>Advanced</x:v>
      </x:c>
      <x:c r="J18" s="2" t="str">
        <x:v>Core</x:v>
      </x:c>
      <x:c r="K18" s="2" t="str">
        <x:v>LAB-016</x:v>
      </x:c>
      <x:c r="L18" s="2" t="str">
        <x:v>☐ Not Started</x:v>
      </x:c>
      <x:c r="M18" s="2" t="n">
        <x:v>0</x:v>
      </x:c>
      <x:c r="N18" s="2" t="str"/>
      <x:c r="O18" s="3"/>
      <x:c r="P18" s="8" t="str">
        <x:v>Save configs, key show commands, packet/traffic proof, fault notes, and a short root-cause summary.</x:v>
      </x:c>
      <x:c r="Q18" s="8" t="str"/>
    </x:row>
    <x:row r="19">
      <x:c r="A19" s="2" t="str">
        <x:v>LAB-018</x:v>
      </x:c>
      <x:c r="B19" s="2" t="str">
        <x:v>2. IGP Engineering</x:v>
      </x:c>
      <x:c r="C19" s="2" t="str">
        <x:v>OSPF &amp; IS-IS</x:v>
      </x:c>
      <x:c r="D19" s="2" t="str">
        <x:v>Core</x:v>
      </x:c>
      <x:c r="E19" s="2" t="str">
        <x:v>IS-IS route leaking and policies</x:v>
      </x:c>
      <x:c r="F19" s="8" t="str">
        <x:v>Leak selected L2 routes to L1 and prevent suboptimal routing or loops.</x:v>
      </x:c>
      <x:c r="G19" s="8" t="str">
        <x:v>Minimum 4–8 routers as needed; add CE/host/traffic-generator nodes for service validation.</x:v>
      </x:c>
      <x:c r="H19" s="2" t="n">
        <x:v>3</x:v>
      </x:c>
      <x:c r="I19" s="2" t="str">
        <x:v>Advanced</x:v>
      </x:c>
      <x:c r="J19" s="2" t="str">
        <x:v>Core</x:v>
      </x:c>
      <x:c r="K19" s="2" t="str">
        <x:v>LAB-017</x:v>
      </x:c>
      <x:c r="L19" s="2" t="str">
        <x:v>☐ Not Started</x:v>
      </x:c>
      <x:c r="M19" s="2" t="n">
        <x:v>0</x:v>
      </x:c>
      <x:c r="N19" s="2" t="str"/>
      <x:c r="O19" s="3"/>
      <x:c r="P19" s="8" t="str">
        <x:v>Save configs, key show commands, packet/traffic proof, fault notes, and a short root-cause summary.</x:v>
      </x:c>
      <x:c r="Q19" s="8" t="str"/>
    </x:row>
    <x:row r="20">
      <x:c r="A20" s="2" t="str">
        <x:v>LAB-019</x:v>
      </x:c>
      <x:c r="B20" s="2" t="str">
        <x:v>2. IGP Engineering</x:v>
      </x:c>
      <x:c r="C20" s="2" t="str">
        <x:v>OSPF &amp; IS-IS</x:v>
      </x:c>
      <x:c r="D20" s="2" t="str">
        <x:v>Core</x:v>
      </x:c>
      <x:c r="E20" s="2" t="str">
        <x:v>IS-IS adjacency edge cases</x:v>
      </x:c>
      <x:c r="F20" s="8" t="str">
        <x:v>Troubleshoot ISO family, NET, level, MTU, authentication and interface-mode failures.</x:v>
      </x:c>
      <x:c r="G20" s="8" t="str">
        <x:v>Minimum 4–8 routers as needed; add CE/host/traffic-generator nodes for service validation.</x:v>
      </x:c>
      <x:c r="H20" s="2" t="n">
        <x:v>3</x:v>
      </x:c>
      <x:c r="I20" s="2" t="str">
        <x:v>Advanced</x:v>
      </x:c>
      <x:c r="J20" s="2" t="str">
        <x:v>Core</x:v>
      </x:c>
      <x:c r="K20" s="2" t="str">
        <x:v>LAB-018</x:v>
      </x:c>
      <x:c r="L20" s="2" t="str">
        <x:v>☐ Not Started</x:v>
      </x:c>
      <x:c r="M20" s="2" t="n">
        <x:v>0</x:v>
      </x:c>
      <x:c r="N20" s="2" t="str"/>
      <x:c r="O20" s="3"/>
      <x:c r="P20" s="8" t="str">
        <x:v>Save configs, key show commands, packet/traffic proof, fault notes, and a short root-cause summary.</x:v>
      </x:c>
      <x:c r="Q20" s="8" t="str"/>
    </x:row>
    <x:row r="21">
      <x:c r="A21" s="2" t="str">
        <x:v>LAB-020</x:v>
      </x:c>
      <x:c r="B21" s="2" t="str">
        <x:v>2. IGP Engineering</x:v>
      </x:c>
      <x:c r="C21" s="2" t="str">
        <x:v>OSPF &amp; IS-IS</x:v>
      </x:c>
      <x:c r="D21" s="2" t="str">
        <x:v>Core</x:v>
      </x:c>
      <x:c r="E21" s="2" t="str">
        <x:v>IS-IS overload and protection</x:v>
      </x:c>
      <x:c r="F21" s="8" t="str">
        <x:v>Test overload bit, prefix export, BFD, graceful restart and adjacency holddown.</x:v>
      </x:c>
      <x:c r="G21" s="8" t="str">
        <x:v>Minimum 4–8 routers as needed; add CE/host/traffic-generator nodes for service validation.</x:v>
      </x:c>
      <x:c r="H21" s="2" t="n">
        <x:v>3</x:v>
      </x:c>
      <x:c r="I21" s="2" t="str">
        <x:v>Advanced</x:v>
      </x:c>
      <x:c r="J21" s="2" t="str">
        <x:v>Core</x:v>
      </x:c>
      <x:c r="K21" s="2" t="str">
        <x:v>LAB-019</x:v>
      </x:c>
      <x:c r="L21" s="2" t="str">
        <x:v>☐ Not Started</x:v>
      </x:c>
      <x:c r="M21" s="2" t="n">
        <x:v>0</x:v>
      </x:c>
      <x:c r="N21" s="2" t="str"/>
      <x:c r="O21" s="3"/>
      <x:c r="P21" s="8" t="str">
        <x:v>Save configs, key show commands, packet/traffic proof, fault notes, and a short root-cause summary.</x:v>
      </x:c>
      <x:c r="Q21" s="8" t="str"/>
    </x:row>
    <x:row r="22">
      <x:c r="A22" s="2" t="str">
        <x:v>LAB-021</x:v>
      </x:c>
      <x:c r="B22" s="2" t="str">
        <x:v>2. IGP Engineering</x:v>
      </x:c>
      <x:c r="C22" s="2" t="str">
        <x:v>OSPF &amp; IS-IS</x:v>
      </x:c>
      <x:c r="D22" s="2" t="str">
        <x:v>Core</x:v>
      </x:c>
      <x:c r="E22" s="2" t="str">
        <x:v>IGP migration OSPF to IS-IS</x:v>
      </x:c>
      <x:c r="F22" s="8" t="str">
        <x:v>Migrate a live core with controlled preference and no service outage.</x:v>
      </x:c>
      <x:c r="G22" s="8" t="str">
        <x:v>Minimum 4–8 routers as needed; add CE/host/traffic-generator nodes for service validation.</x:v>
      </x:c>
      <x:c r="H22" s="2" t="n">
        <x:v>3</x:v>
      </x:c>
      <x:c r="I22" s="2" t="str">
        <x:v>Advanced</x:v>
      </x:c>
      <x:c r="J22" s="2" t="str">
        <x:v>Core</x:v>
      </x:c>
      <x:c r="K22" s="2" t="str">
        <x:v>LAB-020</x:v>
      </x:c>
      <x:c r="L22" s="2" t="str">
        <x:v>☐ Not Started</x:v>
      </x:c>
      <x:c r="M22" s="2" t="n">
        <x:v>0</x:v>
      </x:c>
      <x:c r="N22" s="2" t="str"/>
      <x:c r="O22" s="3"/>
      <x:c r="P22" s="8" t="str">
        <x:v>Save configs, key show commands, packet/traffic proof, fault notes, and a short root-cause summary.</x:v>
      </x:c>
      <x:c r="Q22" s="8" t="str"/>
    </x:row>
    <x:row r="23">
      <x:c r="A23" s="2" t="str">
        <x:v>LAB-022</x:v>
      </x:c>
      <x:c r="B23" s="2" t="str">
        <x:v>2. IGP Engineering</x:v>
      </x:c>
      <x:c r="C23" s="2" t="str">
        <x:v>OSPF &amp; IS-IS</x:v>
      </x:c>
      <x:c r="D23" s="2" t="str">
        <x:v>Core</x:v>
      </x:c>
      <x:c r="E23" s="2" t="str">
        <x:v>IGP convergence benchmark</x:v>
      </x:c>
      <x:c r="F23" s="8" t="str">
        <x:v>Measure failure detection, SPF, RIB and forwarding convergence under link/node faults.</x:v>
      </x:c>
      <x:c r="G23" s="8" t="str">
        <x:v>Minimum 4–8 routers as needed; add CE/host/traffic-generator nodes for service validation.</x:v>
      </x:c>
      <x:c r="H23" s="2" t="n">
        <x:v>3</x:v>
      </x:c>
      <x:c r="I23" s="2" t="str">
        <x:v>Advanced</x:v>
      </x:c>
      <x:c r="J23" s="2" t="str">
        <x:v>Core</x:v>
      </x:c>
      <x:c r="K23" s="2" t="str">
        <x:v>LAB-021</x:v>
      </x:c>
      <x:c r="L23" s="2" t="str">
        <x:v>☐ Not Started</x:v>
      </x:c>
      <x:c r="M23" s="2" t="n">
        <x:v>0</x:v>
      </x:c>
      <x:c r="N23" s="2" t="str"/>
      <x:c r="O23" s="3"/>
      <x:c r="P23" s="8" t="str">
        <x:v>Save configs, key show commands, packet/traffic proof, fault notes, and a short root-cause summary.</x:v>
      </x:c>
      <x:c r="Q23" s="8" t="str"/>
    </x:row>
    <x:row r="24">
      <x:c r="A24" s="2" t="str">
        <x:v>LAB-023</x:v>
      </x:c>
      <x:c r="B24" s="2" t="str">
        <x:v>3. BGP at Scale</x:v>
      </x:c>
      <x:c r="C24" s="2" t="str">
        <x:v>BGP</x:v>
      </x:c>
      <x:c r="D24" s="2" t="str">
        <x:v>Core</x:v>
      </x:c>
      <x:c r="E24" s="2" t="str">
        <x:v>eBGP and iBGP policy baseline</x:v>
      </x:c>
      <x:c r="F24" s="8" t="str">
        <x:v>Build explicit import/export policy and prove Junos BGP default advertisement behavior.</x:v>
      </x:c>
      <x:c r="G24" s="8" t="str">
        <x:v>Minimum 4–8 routers as needed; add CE/host/traffic-generator nodes for service validation.</x:v>
      </x:c>
      <x:c r="H24" s="2" t="n">
        <x:v>3</x:v>
      </x:c>
      <x:c r="I24" s="2" t="str">
        <x:v>Advanced</x:v>
      </x:c>
      <x:c r="J24" s="2" t="str">
        <x:v>Core</x:v>
      </x:c>
      <x:c r="K24" s="2" t="str"/>
      <x:c r="L24" s="2" t="str">
        <x:v>☐ Not Started</x:v>
      </x:c>
      <x:c r="M24" s="2" t="n">
        <x:v>0</x:v>
      </x:c>
      <x:c r="N24" s="2" t="str"/>
      <x:c r="O24" s="3"/>
      <x:c r="P24" s="8" t="str">
        <x:v>Save configs, key show commands, packet/traffic proof, fault notes, and a short root-cause summary.</x:v>
      </x:c>
      <x:c r="Q24" s="8" t="str"/>
    </x:row>
    <x:row r="25">
      <x:c r="A25" s="2" t="str">
        <x:v>LAB-024</x:v>
      </x:c>
      <x:c r="B25" s="2" t="str">
        <x:v>3. BGP at Scale</x:v>
      </x:c>
      <x:c r="C25" s="2" t="str">
        <x:v>BGP</x:v>
      </x:c>
      <x:c r="D25" s="2" t="str">
        <x:v>Core</x:v>
      </x:c>
      <x:c r="E25" s="2" t="str">
        <x:v>BGP path selection laboratory</x:v>
      </x:c>
      <x:c r="F25" s="8" t="str">
        <x:v>Manipulate local preference, AS path, origin, MED, IGP cost and router ID one variable at a time.</x:v>
      </x:c>
      <x:c r="G25" s="8" t="str">
        <x:v>Minimum 4–8 routers as needed; add CE/host/traffic-generator nodes for service validation.</x:v>
      </x:c>
      <x:c r="H25" s="2" t="n">
        <x:v>3</x:v>
      </x:c>
      <x:c r="I25" s="2" t="str">
        <x:v>Advanced</x:v>
      </x:c>
      <x:c r="J25" s="2" t="str">
        <x:v>Core</x:v>
      </x:c>
      <x:c r="K25" s="2" t="str">
        <x:v>LAB-023</x:v>
      </x:c>
      <x:c r="L25" s="2" t="str">
        <x:v>☐ Not Started</x:v>
      </x:c>
      <x:c r="M25" s="2" t="n">
        <x:v>0</x:v>
      </x:c>
      <x:c r="N25" s="2" t="str"/>
      <x:c r="O25" s="3"/>
      <x:c r="P25" s="8" t="str">
        <x:v>Save configs, key show commands, packet/traffic proof, fault notes, and a short root-cause summary.</x:v>
      </x:c>
      <x:c r="Q25" s="8" t="str"/>
    </x:row>
    <x:row r="26">
      <x:c r="A26" s="2" t="str">
        <x:v>LAB-025</x:v>
      </x:c>
      <x:c r="B26" s="2" t="str">
        <x:v>3. BGP at Scale</x:v>
      </x:c>
      <x:c r="C26" s="2" t="str">
        <x:v>BGP</x:v>
      </x:c>
      <x:c r="D26" s="2" t="str">
        <x:v>Core</x:v>
      </x:c>
      <x:c r="E26" s="2" t="str">
        <x:v>Route reflection design</x:v>
      </x:c>
      <x:c r="F26" s="8" t="str">
        <x:v>Deploy redundant route reflectors, clusters and clients; prove loop prevention attributes.</x:v>
      </x:c>
      <x:c r="G26" s="8" t="str">
        <x:v>Minimum 4–8 routers as needed; add CE/host/traffic-generator nodes for service validation.</x:v>
      </x:c>
      <x:c r="H26" s="2" t="n">
        <x:v>3</x:v>
      </x:c>
      <x:c r="I26" s="2" t="str">
        <x:v>Advanced</x:v>
      </x:c>
      <x:c r="J26" s="2" t="str">
        <x:v>Core</x:v>
      </x:c>
      <x:c r="K26" s="2" t="str">
        <x:v>LAB-024</x:v>
      </x:c>
      <x:c r="L26" s="2" t="str">
        <x:v>☐ Not Started</x:v>
      </x:c>
      <x:c r="M26" s="2" t="n">
        <x:v>0</x:v>
      </x:c>
      <x:c r="N26" s="2" t="str"/>
      <x:c r="O26" s="3"/>
      <x:c r="P26" s="8" t="str">
        <x:v>Save configs, key show commands, packet/traffic proof, fault notes, and a short root-cause summary.</x:v>
      </x:c>
      <x:c r="Q26" s="8" t="str"/>
    </x:row>
    <x:row r="27">
      <x:c r="A27" s="2" t="str">
        <x:v>LAB-026</x:v>
      </x:c>
      <x:c r="B27" s="2" t="str">
        <x:v>3. BGP at Scale</x:v>
      </x:c>
      <x:c r="C27" s="2" t="str">
        <x:v>BGP</x:v>
      </x:c>
      <x:c r="D27" s="2" t="str">
        <x:v>Core</x:v>
      </x:c>
      <x:c r="E27" s="2" t="str">
        <x:v>BGP communities toolkit</x:v>
      </x:c>
      <x:c r="F27" s="8" t="str">
        <x:v>Use standard, large, extended and well-known communities for scalable policy.</x:v>
      </x:c>
      <x:c r="G27" s="8" t="str">
        <x:v>Minimum 4–8 routers as needed; add CE/host/traffic-generator nodes for service validation.</x:v>
      </x:c>
      <x:c r="H27" s="2" t="n">
        <x:v>3</x:v>
      </x:c>
      <x:c r="I27" s="2" t="str">
        <x:v>Advanced</x:v>
      </x:c>
      <x:c r="J27" s="2" t="str">
        <x:v>Core</x:v>
      </x:c>
      <x:c r="K27" s="2" t="str">
        <x:v>LAB-025</x:v>
      </x:c>
      <x:c r="L27" s="2" t="str">
        <x:v>☐ Not Started</x:v>
      </x:c>
      <x:c r="M27" s="2" t="n">
        <x:v>0</x:v>
      </x:c>
      <x:c r="N27" s="2" t="str"/>
      <x:c r="O27" s="3"/>
      <x:c r="P27" s="8" t="str">
        <x:v>Save configs, key show commands, packet/traffic proof, fault notes, and a short root-cause summary.</x:v>
      </x:c>
      <x:c r="Q27" s="8" t="str"/>
    </x:row>
    <x:row r="28">
      <x:c r="A28" s="2" t="str">
        <x:v>LAB-027</x:v>
      </x:c>
      <x:c r="B28" s="2" t="str">
        <x:v>3. BGP at Scale</x:v>
      </x:c>
      <x:c r="C28" s="2" t="str">
        <x:v>BGP</x:v>
      </x:c>
      <x:c r="D28" s="2" t="str">
        <x:v>Core</x:v>
      </x:c>
      <x:c r="E28" s="2" t="str">
        <x:v>BGP route damping and flap analysis</x:v>
      </x:c>
      <x:c r="F28" s="8" t="str">
        <x:v>Observe flap history and evaluate when damping is operationally harmful.</x:v>
      </x:c>
      <x:c r="G28" s="8" t="str">
        <x:v>Minimum 4–8 routers as needed; add CE/host/traffic-generator nodes for service validation.</x:v>
      </x:c>
      <x:c r="H28" s="2" t="n">
        <x:v>3</x:v>
      </x:c>
      <x:c r="I28" s="2" t="str">
        <x:v>Advanced</x:v>
      </x:c>
      <x:c r="J28" s="2" t="str">
        <x:v>Core</x:v>
      </x:c>
      <x:c r="K28" s="2" t="str">
        <x:v>LAB-026</x:v>
      </x:c>
      <x:c r="L28" s="2" t="str">
        <x:v>☐ Not Started</x:v>
      </x:c>
      <x:c r="M28" s="2" t="n">
        <x:v>0</x:v>
      </x:c>
      <x:c r="N28" s="2" t="str"/>
      <x:c r="O28" s="3"/>
      <x:c r="P28" s="8" t="str">
        <x:v>Save configs, key show commands, packet/traffic proof, fault notes, and a short root-cause summary.</x:v>
      </x:c>
      <x:c r="Q28" s="8" t="str"/>
    </x:row>
    <x:row r="29">
      <x:c r="A29" s="2" t="str">
        <x:v>LAB-028</x:v>
      </x:c>
      <x:c r="B29" s="2" t="str">
        <x:v>3. BGP at Scale</x:v>
      </x:c>
      <x:c r="C29" s="2" t="str">
        <x:v>BGP</x:v>
      </x:c>
      <x:c r="D29" s="2" t="str">
        <x:v>Core</x:v>
      </x:c>
      <x:c r="E29" s="2" t="str">
        <x:v>BGP multipath and add-path</x:v>
      </x:c>
      <x:c r="F29" s="8" t="str">
        <x:v>Compare equal-cost multipath, multiple-as and add-path visibility.</x:v>
      </x:c>
      <x:c r="G29" s="8" t="str">
        <x:v>Minimum 4–8 routers as needed; add CE/host/traffic-generator nodes for service validation.</x:v>
      </x:c>
      <x:c r="H29" s="2" t="n">
        <x:v>3</x:v>
      </x:c>
      <x:c r="I29" s="2" t="str">
        <x:v>Advanced</x:v>
      </x:c>
      <x:c r="J29" s="2" t="str">
        <x:v>Core</x:v>
      </x:c>
      <x:c r="K29" s="2" t="str">
        <x:v>LAB-027</x:v>
      </x:c>
      <x:c r="L29" s="2" t="str">
        <x:v>☐ Not Started</x:v>
      </x:c>
      <x:c r="M29" s="2" t="n">
        <x:v>0</x:v>
      </x:c>
      <x:c r="N29" s="2" t="str"/>
      <x:c r="O29" s="3"/>
      <x:c r="P29" s="8" t="str">
        <x:v>Save configs, key show commands, packet/traffic proof, fault notes, and a short root-cause summary.</x:v>
      </x:c>
      <x:c r="Q29" s="8" t="str"/>
    </x:row>
    <x:row r="30">
      <x:c r="A30" s="2" t="str">
        <x:v>LAB-029</x:v>
      </x:c>
      <x:c r="B30" s="2" t="str">
        <x:v>3. BGP at Scale</x:v>
      </x:c>
      <x:c r="C30" s="2" t="str">
        <x:v>BGP</x:v>
      </x:c>
      <x:c r="D30" s="2" t="str">
        <x:v>Core</x:v>
      </x:c>
      <x:c r="E30" s="2" t="str">
        <x:v>BGP graceful restart and NSR</x:v>
      </x:c>
      <x:c r="F30" s="8" t="str">
        <x:v>Test control-plane restart behavior and identify stale route risks.</x:v>
      </x:c>
      <x:c r="G30" s="8" t="str">
        <x:v>Minimum 4–8 routers as needed; add CE/host/traffic-generator nodes for service validation.</x:v>
      </x:c>
      <x:c r="H30" s="2" t="n">
        <x:v>3</x:v>
      </x:c>
      <x:c r="I30" s="2" t="str">
        <x:v>Advanced</x:v>
      </x:c>
      <x:c r="J30" s="2" t="str">
        <x:v>Core</x:v>
      </x:c>
      <x:c r="K30" s="2" t="str">
        <x:v>LAB-028</x:v>
      </x:c>
      <x:c r="L30" s="2" t="str">
        <x:v>☐ Not Started</x:v>
      </x:c>
      <x:c r="M30" s="2" t="n">
        <x:v>0</x:v>
      </x:c>
      <x:c r="N30" s="2" t="str"/>
      <x:c r="O30" s="3"/>
      <x:c r="P30" s="8" t="str">
        <x:v>Save configs, key show commands, packet/traffic proof, fault notes, and a short root-cause summary.</x:v>
      </x:c>
      <x:c r="Q30" s="8" t="str"/>
    </x:row>
    <x:row r="31">
      <x:c r="A31" s="2" t="str">
        <x:v>LAB-030</x:v>
      </x:c>
      <x:c r="B31" s="2" t="str">
        <x:v>3. BGP at Scale</x:v>
      </x:c>
      <x:c r="C31" s="2" t="str">
        <x:v>BGP</x:v>
      </x:c>
      <x:c r="D31" s="2" t="str">
        <x:v>Core</x:v>
      </x:c>
      <x:c r="E31" s="2" t="str">
        <x:v>BGP authentication and TTL security</x:v>
      </x:c>
      <x:c r="F31" s="8" t="str">
        <x:v>Secure sessions and troubleshoot MD5, TTL and source-address mismatch.</x:v>
      </x:c>
      <x:c r="G31" s="8" t="str">
        <x:v>Minimum 4–8 routers as needed; add CE/host/traffic-generator nodes for service validation.</x:v>
      </x:c>
      <x:c r="H31" s="2" t="n">
        <x:v>3</x:v>
      </x:c>
      <x:c r="I31" s="2" t="str">
        <x:v>Advanced</x:v>
      </x:c>
      <x:c r="J31" s="2" t="str">
        <x:v>Core</x:v>
      </x:c>
      <x:c r="K31" s="2" t="str">
        <x:v>LAB-029</x:v>
      </x:c>
      <x:c r="L31" s="2" t="str">
        <x:v>☐ Not Started</x:v>
      </x:c>
      <x:c r="M31" s="2" t="n">
        <x:v>0</x:v>
      </x:c>
      <x:c r="N31" s="2" t="str"/>
      <x:c r="O31" s="3"/>
      <x:c r="P31" s="8" t="str">
        <x:v>Save configs, key show commands, packet/traffic proof, fault notes, and a short root-cause summary.</x:v>
      </x:c>
      <x:c r="Q31" s="8" t="str"/>
    </x:row>
    <x:row r="32">
      <x:c r="A32" s="2" t="str">
        <x:v>LAB-031</x:v>
      </x:c>
      <x:c r="B32" s="2" t="str">
        <x:v>3. BGP at Scale</x:v>
      </x:c>
      <x:c r="C32" s="2" t="str">
        <x:v>BGP</x:v>
      </x:c>
      <x:c r="D32" s="2" t="str">
        <x:v>Core</x:v>
      </x:c>
      <x:c r="E32" s="2" t="str">
        <x:v>BGP prefix-limit safety</x:v>
      </x:c>
      <x:c r="F32" s="8" t="str">
        <x:v>Apply warning, teardown and idle-timeout behavior without causing collateral outages.</x:v>
      </x:c>
      <x:c r="G32" s="8" t="str">
        <x:v>Minimum 4–8 routers as needed; add CE/host/traffic-generator nodes for service validation.</x:v>
      </x:c>
      <x:c r="H32" s="2" t="n">
        <x:v>3</x:v>
      </x:c>
      <x:c r="I32" s="2" t="str">
        <x:v>Advanced</x:v>
      </x:c>
      <x:c r="J32" s="2" t="str">
        <x:v>Core</x:v>
      </x:c>
      <x:c r="K32" s="2" t="str">
        <x:v>LAB-030</x:v>
      </x:c>
      <x:c r="L32" s="2" t="str">
        <x:v>☐ Not Started</x:v>
      </x:c>
      <x:c r="M32" s="2" t="n">
        <x:v>0</x:v>
      </x:c>
      <x:c r="N32" s="2" t="str"/>
      <x:c r="O32" s="3"/>
      <x:c r="P32" s="8" t="str">
        <x:v>Save configs, key show commands, packet/traffic proof, fault notes, and a short root-cause summary.</x:v>
      </x:c>
      <x:c r="Q32" s="8" t="str"/>
    </x:row>
    <x:row r="33">
      <x:c r="A33" s="2" t="str">
        <x:v>LAB-032</x:v>
      </x:c>
      <x:c r="B33" s="2" t="str">
        <x:v>3. BGP at Scale</x:v>
      </x:c>
      <x:c r="C33" s="2" t="str">
        <x:v>BGP</x:v>
      </x:c>
      <x:c r="D33" s="2" t="str">
        <x:v>Core</x:v>
      </x:c>
      <x:c r="E33" s="2" t="str">
        <x:v>BGP labeled unicast</x:v>
      </x:c>
      <x:c r="F33" s="8" t="str">
        <x:v>Carry labeled IPv4 prefixes and inspect label allocation, resolution and forwarding.</x:v>
      </x:c>
      <x:c r="G33" s="8" t="str">
        <x:v>Minimum 4–8 routers as needed; add CE/host/traffic-generator nodes for service validation.</x:v>
      </x:c>
      <x:c r="H33" s="2" t="n">
        <x:v>3</x:v>
      </x:c>
      <x:c r="I33" s="2" t="str">
        <x:v>Advanced</x:v>
      </x:c>
      <x:c r="J33" s="2" t="str">
        <x:v>Core</x:v>
      </x:c>
      <x:c r="K33" s="2" t="str">
        <x:v>LAB-031</x:v>
      </x:c>
      <x:c r="L33" s="2" t="str">
        <x:v>☐ Not Started</x:v>
      </x:c>
      <x:c r="M33" s="2" t="n">
        <x:v>0</x:v>
      </x:c>
      <x:c r="N33" s="2" t="str"/>
      <x:c r="O33" s="3"/>
      <x:c r="P33" s="8" t="str">
        <x:v>Save configs, key show commands, packet/traffic proof, fault notes, and a short root-cause summary.</x:v>
      </x:c>
      <x:c r="Q33" s="8" t="str"/>
    </x:row>
    <x:row r="34">
      <x:c r="A34" s="2" t="str">
        <x:v>LAB-033</x:v>
      </x:c>
      <x:c r="B34" s="2" t="str">
        <x:v>3. BGP at Scale</x:v>
      </x:c>
      <x:c r="C34" s="2" t="str">
        <x:v>BGP</x:v>
      </x:c>
      <x:c r="D34" s="2" t="str">
        <x:v>Core</x:v>
      </x:c>
      <x:c r="E34" s="2" t="str">
        <x:v>BGP confederation scenario</x:v>
      </x:c>
      <x:c r="F34" s="8" t="str">
        <x:v>Build and troubleshoot a confederation and compare it with route reflection.</x:v>
      </x:c>
      <x:c r="G34" s="8" t="str">
        <x:v>Minimum 4–8 routers as needed; add CE/host/traffic-generator nodes for service validation.</x:v>
      </x:c>
      <x:c r="H34" s="2" t="n">
        <x:v>3</x:v>
      </x:c>
      <x:c r="I34" s="2" t="str">
        <x:v>Advanced</x:v>
      </x:c>
      <x:c r="J34" s="2" t="str">
        <x:v>Core</x:v>
      </x:c>
      <x:c r="K34" s="2" t="str">
        <x:v>LAB-032</x:v>
      </x:c>
      <x:c r="L34" s="2" t="str">
        <x:v>☐ Not Started</x:v>
      </x:c>
      <x:c r="M34" s="2" t="n">
        <x:v>0</x:v>
      </x:c>
      <x:c r="N34" s="2" t="str"/>
      <x:c r="O34" s="3"/>
      <x:c r="P34" s="8" t="str">
        <x:v>Save configs, key show commands, packet/traffic proof, fault notes, and a short root-cause summary.</x:v>
      </x:c>
      <x:c r="Q34" s="8" t="str"/>
    </x:row>
    <x:row r="35">
      <x:c r="A35" s="2" t="str">
        <x:v>LAB-034</x:v>
      </x:c>
      <x:c r="B35" s="2" t="str">
        <x:v>3. BGP at Scale</x:v>
      </x:c>
      <x:c r="C35" s="2" t="str">
        <x:v>BGP</x:v>
      </x:c>
      <x:c r="D35" s="2" t="str">
        <x:v>Core</x:v>
      </x:c>
      <x:c r="E35" s="2" t="str">
        <x:v>Internet edge policy capstone</x:v>
      </x:c>
      <x:c r="F35" s="8" t="str">
        <x:v>Implement customer, peer and transit policies with bogon filtering, RPKI-informed design and max-prefix controls.</x:v>
      </x:c>
      <x:c r="G35" s="8" t="str">
        <x:v>Minimum 4–8 routers as needed; add CE/host/traffic-generator nodes for service validation.</x:v>
      </x:c>
      <x:c r="H35" s="2" t="n">
        <x:v>3</x:v>
      </x:c>
      <x:c r="I35" s="2" t="str">
        <x:v>Advanced</x:v>
      </x:c>
      <x:c r="J35" s="2" t="str">
        <x:v>Core</x:v>
      </x:c>
      <x:c r="K35" s="2" t="str">
        <x:v>LAB-033</x:v>
      </x:c>
      <x:c r="L35" s="2" t="str">
        <x:v>☐ Not Started</x:v>
      </x:c>
      <x:c r="M35" s="2" t="n">
        <x:v>0</x:v>
      </x:c>
      <x:c r="N35" s="2" t="str"/>
      <x:c r="O35" s="3"/>
      <x:c r="P35" s="8" t="str">
        <x:v>Save configs, key show commands, packet/traffic proof, fault notes, and a short root-cause summary.</x:v>
      </x:c>
      <x:c r="Q35" s="8" t="str"/>
    </x:row>
    <x:row r="36">
      <x:c r="A36" s="2" t="str">
        <x:v>LAB-035</x:v>
      </x:c>
      <x:c r="B36" s="2" t="str">
        <x:v>4. MPLS Transport</x:v>
      </x:c>
      <x:c r="C36" s="2" t="str">
        <x:v>MPLS, LDP &amp; RSVP</x:v>
      </x:c>
      <x:c r="D36" s="2" t="str">
        <x:v>Expert</x:v>
      </x:c>
      <x:c r="E36" s="2" t="str">
        <x:v>MPLS forwarding baseline</x:v>
      </x:c>
      <x:c r="F36" s="8" t="str">
        <x:v>Enable MPLS and trace label push, swap, PHP and explicit-null through mpls.0.</x:v>
      </x:c>
      <x:c r="G36" s="8" t="str">
        <x:v>Minimum 4–8 routers as needed; add CE/host/traffic-generator nodes for service validation.</x:v>
      </x:c>
      <x:c r="H36" s="2" t="n">
        <x:v>4</x:v>
      </x:c>
      <x:c r="I36" s="2" t="str">
        <x:v>Expert</x:v>
      </x:c>
      <x:c r="J36" s="2" t="str">
        <x:v>Core</x:v>
      </x:c>
      <x:c r="K36" s="2" t="str"/>
      <x:c r="L36" s="2" t="str">
        <x:v>☐ Not Started</x:v>
      </x:c>
      <x:c r="M36" s="2" t="n">
        <x:v>0</x:v>
      </x:c>
      <x:c r="N36" s="2" t="str"/>
      <x:c r="O36" s="3"/>
      <x:c r="P36" s="8" t="str">
        <x:v>Save configs, key show commands, packet/traffic proof, fault notes, and a short root-cause summary.</x:v>
      </x:c>
      <x:c r="Q36" s="8" t="str"/>
    </x:row>
    <x:row r="37">
      <x:c r="A37" s="2" t="str">
        <x:v>LAB-036</x:v>
      </x:c>
      <x:c r="B37" s="2" t="str">
        <x:v>4. MPLS Transport</x:v>
      </x:c>
      <x:c r="C37" s="2" t="str">
        <x:v>MPLS, LDP &amp; RSVP</x:v>
      </x:c>
      <x:c r="D37" s="2" t="str">
        <x:v>Expert</x:v>
      </x:c>
      <x:c r="E37" s="2" t="str">
        <x:v>LDP transport LSP</x:v>
      </x:c>
      <x:c r="F37" s="8" t="str">
        <x:v>Build LDP over the IGP and verify FEC-label bindings and inet.3 resolution.</x:v>
      </x:c>
      <x:c r="G37" s="8" t="str">
        <x:v>Minimum 4–8 routers as needed; add CE/host/traffic-generator nodes for service validation.</x:v>
      </x:c>
      <x:c r="H37" s="2" t="n">
        <x:v>4</x:v>
      </x:c>
      <x:c r="I37" s="2" t="str">
        <x:v>Expert</x:v>
      </x:c>
      <x:c r="J37" s="2" t="str">
        <x:v>Core</x:v>
      </x:c>
      <x:c r="K37" s="2" t="str">
        <x:v>LAB-035</x:v>
      </x:c>
      <x:c r="L37" s="2" t="str">
        <x:v>☐ Not Started</x:v>
      </x:c>
      <x:c r="M37" s="2" t="n">
        <x:v>0</x:v>
      </x:c>
      <x:c r="N37" s="2" t="str"/>
      <x:c r="O37" s="3"/>
      <x:c r="P37" s="8" t="str">
        <x:v>Save configs, key show commands, packet/traffic proof, fault notes, and a short root-cause summary.</x:v>
      </x:c>
      <x:c r="Q37" s="8" t="str"/>
    </x:row>
    <x:row r="38">
      <x:c r="A38" s="2" t="str">
        <x:v>LAB-037</x:v>
      </x:c>
      <x:c r="B38" s="2" t="str">
        <x:v>4. MPLS Transport</x:v>
      </x:c>
      <x:c r="C38" s="2" t="str">
        <x:v>MPLS, LDP &amp; RSVP</x:v>
      </x:c>
      <x:c r="D38" s="2" t="str">
        <x:v>Expert</x:v>
      </x:c>
      <x:c r="E38" s="2" t="str">
        <x:v>LDP synchronization</x:v>
      </x:c>
      <x:c r="F38" s="8" t="str">
        <x:v>Create a link-up race and prove IGP-LDP synchronization prevents blackholing.</x:v>
      </x:c>
      <x:c r="G38" s="8" t="str">
        <x:v>Minimum 4–8 routers as needed; add CE/host/traffic-generator nodes for service validation.</x:v>
      </x:c>
      <x:c r="H38" s="2" t="n">
        <x:v>4</x:v>
      </x:c>
      <x:c r="I38" s="2" t="str">
        <x:v>Expert</x:v>
      </x:c>
      <x:c r="J38" s="2" t="str">
        <x:v>Core</x:v>
      </x:c>
      <x:c r="K38" s="2" t="str">
        <x:v>LAB-036</x:v>
      </x:c>
      <x:c r="L38" s="2" t="str">
        <x:v>☐ Not Started</x:v>
      </x:c>
      <x:c r="M38" s="2" t="n">
        <x:v>0</x:v>
      </x:c>
      <x:c r="N38" s="2" t="str"/>
      <x:c r="O38" s="3"/>
      <x:c r="P38" s="8" t="str">
        <x:v>Save configs, key show commands, packet/traffic proof, fault notes, and a short root-cause summary.</x:v>
      </x:c>
      <x:c r="Q38" s="8" t="str"/>
    </x:row>
    <x:row r="39">
      <x:c r="A39" s="2" t="str">
        <x:v>LAB-038</x:v>
      </x:c>
      <x:c r="B39" s="2" t="str">
        <x:v>4. MPLS Transport</x:v>
      </x:c>
      <x:c r="C39" s="2" t="str">
        <x:v>MPLS, LDP &amp; RSVP</x:v>
      </x:c>
      <x:c r="D39" s="2" t="str">
        <x:v>Expert</x:v>
      </x:c>
      <x:c r="E39" s="2" t="str">
        <x:v>LDP targeted sessions</x:v>
      </x:c>
      <x:c r="F39" s="8" t="str">
        <x:v>Build targeted LDP and troubleshoot transport-address reachability.</x:v>
      </x:c>
      <x:c r="G39" s="8" t="str">
        <x:v>Minimum 4–8 routers as needed; add CE/host/traffic-generator nodes for service validation.</x:v>
      </x:c>
      <x:c r="H39" s="2" t="n">
        <x:v>4</x:v>
      </x:c>
      <x:c r="I39" s="2" t="str">
        <x:v>Expert</x:v>
      </x:c>
      <x:c r="J39" s="2" t="str">
        <x:v>Core</x:v>
      </x:c>
      <x:c r="K39" s="2" t="str">
        <x:v>LAB-037</x:v>
      </x:c>
      <x:c r="L39" s="2" t="str">
        <x:v>☐ Not Started</x:v>
      </x:c>
      <x:c r="M39" s="2" t="n">
        <x:v>0</x:v>
      </x:c>
      <x:c r="N39" s="2" t="str"/>
      <x:c r="O39" s="3"/>
      <x:c r="P39" s="8" t="str">
        <x:v>Save configs, key show commands, packet/traffic proof, fault notes, and a short root-cause summary.</x:v>
      </x:c>
      <x:c r="Q39" s="8" t="str"/>
    </x:row>
    <x:row r="40">
      <x:c r="A40" s="2" t="str">
        <x:v>LAB-039</x:v>
      </x:c>
      <x:c r="B40" s="2" t="str">
        <x:v>4. MPLS Transport</x:v>
      </x:c>
      <x:c r="C40" s="2" t="str">
        <x:v>MPLS, LDP &amp; RSVP</x:v>
      </x:c>
      <x:c r="D40" s="2" t="str">
        <x:v>Expert</x:v>
      </x:c>
      <x:c r="E40" s="2" t="str">
        <x:v>RSVP-TE dynamic LSP</x:v>
      </x:c>
      <x:c r="F40" s="8" t="str">
        <x:v>Build a CSPF-signaled LSP and interpret ERO, RRO, session and path state.</x:v>
      </x:c>
      <x:c r="G40" s="8" t="str">
        <x:v>Minimum 4–8 routers as needed; add CE/host/traffic-generator nodes for service validation.</x:v>
      </x:c>
      <x:c r="H40" s="2" t="n">
        <x:v>4</x:v>
      </x:c>
      <x:c r="I40" s="2" t="str">
        <x:v>Expert</x:v>
      </x:c>
      <x:c r="J40" s="2" t="str">
        <x:v>Core</x:v>
      </x:c>
      <x:c r="K40" s="2" t="str">
        <x:v>LAB-038</x:v>
      </x:c>
      <x:c r="L40" s="2" t="str">
        <x:v>☐ Not Started</x:v>
      </x:c>
      <x:c r="M40" s="2" t="n">
        <x:v>0</x:v>
      </x:c>
      <x:c r="N40" s="2" t="str"/>
      <x:c r="O40" s="3"/>
      <x:c r="P40" s="8" t="str">
        <x:v>Save configs, key show commands, packet/traffic proof, fault notes, and a short root-cause summary.</x:v>
      </x:c>
      <x:c r="Q40" s="8" t="str"/>
    </x:row>
    <x:row r="41">
      <x:c r="A41" s="2" t="str">
        <x:v>LAB-040</x:v>
      </x:c>
      <x:c r="B41" s="2" t="str">
        <x:v>4. MPLS Transport</x:v>
      </x:c>
      <x:c r="C41" s="2" t="str">
        <x:v>MPLS, LDP &amp; RSVP</x:v>
      </x:c>
      <x:c r="D41" s="2" t="str">
        <x:v>Expert</x:v>
      </x:c>
      <x:c r="E41" s="2" t="str">
        <x:v>RSVP strict/loose explicit path</x:v>
      </x:c>
      <x:c r="F41" s="8" t="str">
        <x:v>Steer traffic using strict and loose hops and diagnose CSPF failures.</x:v>
      </x:c>
      <x:c r="G41" s="8" t="str">
        <x:v>Minimum 4–8 routers as needed; add CE/host/traffic-generator nodes for service validation.</x:v>
      </x:c>
      <x:c r="H41" s="2" t="n">
        <x:v>4</x:v>
      </x:c>
      <x:c r="I41" s="2" t="str">
        <x:v>Expert</x:v>
      </x:c>
      <x:c r="J41" s="2" t="str">
        <x:v>Core</x:v>
      </x:c>
      <x:c r="K41" s="2" t="str">
        <x:v>LAB-039</x:v>
      </x:c>
      <x:c r="L41" s="2" t="str">
        <x:v>☐ Not Started</x:v>
      </x:c>
      <x:c r="M41" s="2" t="n">
        <x:v>0</x:v>
      </x:c>
      <x:c r="N41" s="2" t="str"/>
      <x:c r="O41" s="3"/>
      <x:c r="P41" s="8" t="str">
        <x:v>Save configs, key show commands, packet/traffic proof, fault notes, and a short root-cause summary.</x:v>
      </x:c>
      <x:c r="Q41" s="8" t="str"/>
    </x:row>
    <x:row r="42">
      <x:c r="A42" s="2" t="str">
        <x:v>LAB-041</x:v>
      </x:c>
      <x:c r="B42" s="2" t="str">
        <x:v>4. MPLS Transport</x:v>
      </x:c>
      <x:c r="C42" s="2" t="str">
        <x:v>MPLS, LDP &amp; RSVP</x:v>
      </x:c>
      <x:c r="D42" s="2" t="str">
        <x:v>Expert</x:v>
      </x:c>
      <x:c r="E42" s="2" t="str">
        <x:v>RSVP primary/secondary paths</x:v>
      </x:c>
      <x:c r="F42" s="8" t="str">
        <x:v>Test standby and active secondary behavior with revertive/nonrevertive operation.</x:v>
      </x:c>
      <x:c r="G42" s="8" t="str">
        <x:v>Minimum 4–8 routers as needed; add CE/host/traffic-generator nodes for service validation.</x:v>
      </x:c>
      <x:c r="H42" s="2" t="n">
        <x:v>4</x:v>
      </x:c>
      <x:c r="I42" s="2" t="str">
        <x:v>Expert</x:v>
      </x:c>
      <x:c r="J42" s="2" t="str">
        <x:v>Core</x:v>
      </x:c>
      <x:c r="K42" s="2" t="str">
        <x:v>LAB-040</x:v>
      </x:c>
      <x:c r="L42" s="2" t="str">
        <x:v>☐ Not Started</x:v>
      </x:c>
      <x:c r="M42" s="2" t="n">
        <x:v>0</x:v>
      </x:c>
      <x:c r="N42" s="2" t="str"/>
      <x:c r="O42" s="3"/>
      <x:c r="P42" s="8" t="str">
        <x:v>Save configs, key show commands, packet/traffic proof, fault notes, and a short root-cause summary.</x:v>
      </x:c>
      <x:c r="Q42" s="8" t="str"/>
    </x:row>
    <x:row r="43">
      <x:c r="A43" s="2" t="str">
        <x:v>LAB-042</x:v>
      </x:c>
      <x:c r="B43" s="2" t="str">
        <x:v>4. MPLS Transport</x:v>
      </x:c>
      <x:c r="C43" s="2" t="str">
        <x:v>MPLS, LDP &amp; RSVP</x:v>
      </x:c>
      <x:c r="D43" s="2" t="str">
        <x:v>Expert</x:v>
      </x:c>
      <x:c r="E43" s="2" t="str">
        <x:v>RSVP fast reroute</x:v>
      </x:c>
      <x:c r="F43" s="8" t="str">
        <x:v>Compare one-to-one detours and facility bypass behavior under link and node failure.</x:v>
      </x:c>
      <x:c r="G43" s="8" t="str">
        <x:v>Minimum 4–8 routers as needed; add CE/host/traffic-generator nodes for service validation.</x:v>
      </x:c>
      <x:c r="H43" s="2" t="n">
        <x:v>4</x:v>
      </x:c>
      <x:c r="I43" s="2" t="str">
        <x:v>Expert</x:v>
      </x:c>
      <x:c r="J43" s="2" t="str">
        <x:v>Core</x:v>
      </x:c>
      <x:c r="K43" s="2" t="str">
        <x:v>LAB-041</x:v>
      </x:c>
      <x:c r="L43" s="2" t="str">
        <x:v>☐ Not Started</x:v>
      </x:c>
      <x:c r="M43" s="2" t="n">
        <x:v>0</x:v>
      </x:c>
      <x:c r="N43" s="2" t="str"/>
      <x:c r="O43" s="3"/>
      <x:c r="P43" s="8" t="str">
        <x:v>Save configs, key show commands, packet/traffic proof, fault notes, and a short root-cause summary.</x:v>
      </x:c>
      <x:c r="Q43" s="8" t="str"/>
    </x:row>
    <x:row r="44">
      <x:c r="A44" s="2" t="str">
        <x:v>LAB-043</x:v>
      </x:c>
      <x:c r="B44" s="2" t="str">
        <x:v>4. MPLS Transport</x:v>
      </x:c>
      <x:c r="C44" s="2" t="str">
        <x:v>MPLS, LDP &amp; RSVP</x:v>
      </x:c>
      <x:c r="D44" s="2" t="str">
        <x:v>Expert</x:v>
      </x:c>
      <x:c r="E44" s="2" t="str">
        <x:v>RSVP bandwidth and priorities</x:v>
      </x:c>
      <x:c r="F44" s="8" t="str">
        <x:v>Model reservable bandwidth, setup/hold priority and preemption.</x:v>
      </x:c>
      <x:c r="G44" s="8" t="str">
        <x:v>Minimum 4–8 routers as needed; add CE/host/traffic-generator nodes for service validation.</x:v>
      </x:c>
      <x:c r="H44" s="2" t="n">
        <x:v>4</x:v>
      </x:c>
      <x:c r="I44" s="2" t="str">
        <x:v>Expert</x:v>
      </x:c>
      <x:c r="J44" s="2" t="str">
        <x:v>Core</x:v>
      </x:c>
      <x:c r="K44" s="2" t="str">
        <x:v>LAB-042</x:v>
      </x:c>
      <x:c r="L44" s="2" t="str">
        <x:v>☐ Not Started</x:v>
      </x:c>
      <x:c r="M44" s="2" t="n">
        <x:v>0</x:v>
      </x:c>
      <x:c r="N44" s="2" t="str"/>
      <x:c r="O44" s="3"/>
      <x:c r="P44" s="8" t="str">
        <x:v>Save configs, key show commands, packet/traffic proof, fault notes, and a short root-cause summary.</x:v>
      </x:c>
      <x:c r="Q44" s="8" t="str"/>
    </x:row>
    <x:row r="45">
      <x:c r="A45" s="2" t="str">
        <x:v>LAB-044</x:v>
      </x:c>
      <x:c r="B45" s="2" t="str">
        <x:v>4. MPLS Transport</x:v>
      </x:c>
      <x:c r="C45" s="2" t="str">
        <x:v>MPLS, LDP &amp; RSVP</x:v>
      </x:c>
      <x:c r="D45" s="2" t="str">
        <x:v>Expert</x:v>
      </x:c>
      <x:c r="E45" s="2" t="str">
        <x:v>MPLS traffic engineering shortcuts</x:v>
      </x:c>
      <x:c r="F45" s="8" t="str">
        <x:v>Use forwarding adjacencies or LSP metrics to influence IP forwarding.</x:v>
      </x:c>
      <x:c r="G45" s="8" t="str">
        <x:v>Minimum 4–8 routers as needed; add CE/host/traffic-generator nodes for service validation.</x:v>
      </x:c>
      <x:c r="H45" s="2" t="n">
        <x:v>4</x:v>
      </x:c>
      <x:c r="I45" s="2" t="str">
        <x:v>Expert</x:v>
      </x:c>
      <x:c r="J45" s="2" t="str">
        <x:v>Core</x:v>
      </x:c>
      <x:c r="K45" s="2" t="str">
        <x:v>LAB-043</x:v>
      </x:c>
      <x:c r="L45" s="2" t="str">
        <x:v>☐ Not Started</x:v>
      </x:c>
      <x:c r="M45" s="2" t="n">
        <x:v>0</x:v>
      </x:c>
      <x:c r="N45" s="2" t="str"/>
      <x:c r="O45" s="3"/>
      <x:c r="P45" s="8" t="str">
        <x:v>Save configs, key show commands, packet/traffic proof, fault notes, and a short root-cause summary.</x:v>
      </x:c>
      <x:c r="Q45" s="8" t="str"/>
    </x:row>
    <x:row r="46">
      <x:c r="A46" s="2" t="str">
        <x:v>LAB-045</x:v>
      </x:c>
      <x:c r="B46" s="2" t="str">
        <x:v>4. MPLS Transport</x:v>
      </x:c>
      <x:c r="C46" s="2" t="str">
        <x:v>MPLS, LDP &amp; RSVP</x:v>
      </x:c>
      <x:c r="D46" s="2" t="str">
        <x:v>Expert</x:v>
      </x:c>
      <x:c r="E46" s="2" t="str">
        <x:v>LSP load balancing</x:v>
      </x:c>
      <x:c r="F46" s="8" t="str">
        <x:v>Control per-prefix/per-packet behavior and inspect hashing implications.</x:v>
      </x:c>
      <x:c r="G46" s="8" t="str">
        <x:v>Minimum 4–8 routers as needed; add CE/host/traffic-generator nodes for service validation.</x:v>
      </x:c>
      <x:c r="H46" s="2" t="n">
        <x:v>4</x:v>
      </x:c>
      <x:c r="I46" s="2" t="str">
        <x:v>Expert</x:v>
      </x:c>
      <x:c r="J46" s="2" t="str">
        <x:v>Core</x:v>
      </x:c>
      <x:c r="K46" s="2" t="str">
        <x:v>LAB-044</x:v>
      </x:c>
      <x:c r="L46" s="2" t="str">
        <x:v>☐ Not Started</x:v>
      </x:c>
      <x:c r="M46" s="2" t="n">
        <x:v>0</x:v>
      </x:c>
      <x:c r="N46" s="2" t="str"/>
      <x:c r="O46" s="3"/>
      <x:c r="P46" s="8" t="str">
        <x:v>Save configs, key show commands, packet/traffic proof, fault notes, and a short root-cause summary.</x:v>
      </x:c>
      <x:c r="Q46" s="8" t="str"/>
    </x:row>
    <x:row r="47">
      <x:c r="A47" s="2" t="str">
        <x:v>LAB-046</x:v>
      </x:c>
      <x:c r="B47" s="2" t="str">
        <x:v>4. MPLS Transport</x:v>
      </x:c>
      <x:c r="C47" s="2" t="str">
        <x:v>MPLS, LDP &amp; RSVP</x:v>
      </x:c>
      <x:c r="D47" s="2" t="str">
        <x:v>Expert</x:v>
      </x:c>
      <x:c r="E47" s="2" t="str">
        <x:v>MPLS OAM</x:v>
      </x:c>
      <x:c r="F47" s="8" t="str">
        <x:v>Use LSP ping, traceroute and BFD to isolate control-plane versus data-plane faults.</x:v>
      </x:c>
      <x:c r="G47" s="8" t="str">
        <x:v>Minimum 4–8 routers as needed; add CE/host/traffic-generator nodes for service validation.</x:v>
      </x:c>
      <x:c r="H47" s="2" t="n">
        <x:v>4</x:v>
      </x:c>
      <x:c r="I47" s="2" t="str">
        <x:v>Expert</x:v>
      </x:c>
      <x:c r="J47" s="2" t="str">
        <x:v>Core</x:v>
      </x:c>
      <x:c r="K47" s="2" t="str">
        <x:v>LAB-045</x:v>
      </x:c>
      <x:c r="L47" s="2" t="str">
        <x:v>☐ Not Started</x:v>
      </x:c>
      <x:c r="M47" s="2" t="n">
        <x:v>0</x:v>
      </x:c>
      <x:c r="N47" s="2" t="str"/>
      <x:c r="O47" s="3"/>
      <x:c r="P47" s="8" t="str">
        <x:v>Save configs, key show commands, packet/traffic proof, fault notes, and a short root-cause summary.</x:v>
      </x:c>
      <x:c r="Q47" s="8" t="str"/>
    </x:row>
    <x:row r="48">
      <x:c r="A48" s="2" t="str">
        <x:v>LAB-047</x:v>
      </x:c>
      <x:c r="B48" s="2" t="str">
        <x:v>4. MPLS Transport</x:v>
      </x:c>
      <x:c r="C48" s="2" t="str">
        <x:v>MPLS, LDP &amp; RSVP</x:v>
      </x:c>
      <x:c r="D48" s="2" t="str">
        <x:v>Expert</x:v>
      </x:c>
      <x:c r="E48" s="2" t="str">
        <x:v>Entropy label and flow awareness</x:v>
      </x:c>
      <x:c r="F48" s="8" t="str">
        <x:v>Explain and validate label-stack effects on ECMP where platform support permits.</x:v>
      </x:c>
      <x:c r="G48" s="8" t="str">
        <x:v>Minimum 4–8 routers as needed; add CE/host/traffic-generator nodes for service validation.</x:v>
      </x:c>
      <x:c r="H48" s="2" t="n">
        <x:v>4</x:v>
      </x:c>
      <x:c r="I48" s="2" t="str">
        <x:v>Expert</x:v>
      </x:c>
      <x:c r="J48" s="2" t="str">
        <x:v>Core</x:v>
      </x:c>
      <x:c r="K48" s="2" t="str">
        <x:v>LAB-046</x:v>
      </x:c>
      <x:c r="L48" s="2" t="str">
        <x:v>☐ Not Started</x:v>
      </x:c>
      <x:c r="M48" s="2" t="n">
        <x:v>0</x:v>
      </x:c>
      <x:c r="N48" s="2" t="str"/>
      <x:c r="O48" s="3"/>
      <x:c r="P48" s="8" t="str">
        <x:v>Save configs, key show commands, packet/traffic proof, fault notes, and a short root-cause summary.</x:v>
      </x:c>
      <x:c r="Q48" s="8" t="str"/>
    </x:row>
    <x:row r="49">
      <x:c r="A49" s="2" t="str">
        <x:v>LAB-048</x:v>
      </x:c>
      <x:c r="B49" s="2" t="str">
        <x:v>4. MPLS Transport</x:v>
      </x:c>
      <x:c r="C49" s="2" t="str">
        <x:v>MPLS, LDP &amp; RSVP</x:v>
      </x:c>
      <x:c r="D49" s="2" t="str">
        <x:v>Expert</x:v>
      </x:c>
      <x:c r="E49" s="2" t="str">
        <x:v>Transport migration LDP to RSVP</x:v>
      </x:c>
      <x:c r="F49" s="8" t="str">
        <x:v>Move services between transport types without breaking VPN resolution.</x:v>
      </x:c>
      <x:c r="G49" s="8" t="str">
        <x:v>Minimum 4–8 routers as needed; add CE/host/traffic-generator nodes for service validation.</x:v>
      </x:c>
      <x:c r="H49" s="2" t="n">
        <x:v>4</x:v>
      </x:c>
      <x:c r="I49" s="2" t="str">
        <x:v>Expert</x:v>
      </x:c>
      <x:c r="J49" s="2" t="str">
        <x:v>Core</x:v>
      </x:c>
      <x:c r="K49" s="2" t="str">
        <x:v>LAB-047</x:v>
      </x:c>
      <x:c r="L49" s="2" t="str">
        <x:v>☐ Not Started</x:v>
      </x:c>
      <x:c r="M49" s="2" t="n">
        <x:v>0</x:v>
      </x:c>
      <x:c r="N49" s="2" t="str"/>
      <x:c r="O49" s="3"/>
      <x:c r="P49" s="8" t="str">
        <x:v>Save configs, key show commands, packet/traffic proof, fault notes, and a short root-cause summary.</x:v>
      </x:c>
      <x:c r="Q49" s="8" t="str"/>
    </x:row>
    <x:row r="50">
      <x:c r="A50" s="2" t="str">
        <x:v>LAB-049</x:v>
      </x:c>
      <x:c r="B50" s="2" t="str">
        <x:v>5. Segment Routing</x:v>
      </x:c>
      <x:c r="C50" s="2" t="str">
        <x:v>SR-MPLS</x:v>
      </x:c>
      <x:c r="D50" s="2" t="str">
        <x:v>Modern SP</x:v>
      </x:c>
      <x:c r="E50" s="2" t="str">
        <x:v>SR-MPLS IS-IS baseline</x:v>
      </x:c>
      <x:c r="F50" s="8" t="str">
        <x:v>Advertise node SIDs, verify SRGB consistency and trace label forwarding.</x:v>
      </x:c>
      <x:c r="G50" s="8" t="str">
        <x:v>Minimum 4–8 routers as needed; add CE/host/traffic-generator nodes for service validation.</x:v>
      </x:c>
      <x:c r="H50" s="2" t="n">
        <x:v>4</x:v>
      </x:c>
      <x:c r="I50" s="2" t="str">
        <x:v>Advanced</x:v>
      </x:c>
      <x:c r="J50" s="2" t="str">
        <x:v>Beyond Exam</x:v>
      </x:c>
      <x:c r="K50" s="2" t="str"/>
      <x:c r="L50" s="2" t="str">
        <x:v>☐ Not Started</x:v>
      </x:c>
      <x:c r="M50" s="2" t="n">
        <x:v>0</x:v>
      </x:c>
      <x:c r="N50" s="2" t="str"/>
      <x:c r="O50" s="3"/>
      <x:c r="P50" s="8" t="str">
        <x:v>Save configs, key show commands, packet/traffic proof, fault notes, and a short root-cause summary.</x:v>
      </x:c>
      <x:c r="Q50" s="8" t="str"/>
    </x:row>
    <x:row r="51">
      <x:c r="A51" s="2" t="str">
        <x:v>LAB-050</x:v>
      </x:c>
      <x:c r="B51" s="2" t="str">
        <x:v>5. Segment Routing</x:v>
      </x:c>
      <x:c r="C51" s="2" t="str">
        <x:v>SR-MPLS</x:v>
      </x:c>
      <x:c r="D51" s="2" t="str">
        <x:v>Modern SP</x:v>
      </x:c>
      <x:c r="E51" s="2" t="str">
        <x:v>SR prefix and adjacency SIDs</x:v>
      </x:c>
      <x:c r="F51" s="8" t="str">
        <x:v>Compare global prefix SIDs with local adjacency SIDs during failures.</x:v>
      </x:c>
      <x:c r="G51" s="8" t="str">
        <x:v>Minimum 4–8 routers as needed; add CE/host/traffic-generator nodes for service validation.</x:v>
      </x:c>
      <x:c r="H51" s="2" t="n">
        <x:v>4</x:v>
      </x:c>
      <x:c r="I51" s="2" t="str">
        <x:v>Advanced</x:v>
      </x:c>
      <x:c r="J51" s="2" t="str">
        <x:v>Beyond Exam</x:v>
      </x:c>
      <x:c r="K51" s="2" t="str">
        <x:v>LAB-049</x:v>
      </x:c>
      <x:c r="L51" s="2" t="str">
        <x:v>☐ Not Started</x:v>
      </x:c>
      <x:c r="M51" s="2" t="n">
        <x:v>0</x:v>
      </x:c>
      <x:c r="N51" s="2" t="str"/>
      <x:c r="O51" s="3"/>
      <x:c r="P51" s="8" t="str">
        <x:v>Save configs, key show commands, packet/traffic proof, fault notes, and a short root-cause summary.</x:v>
      </x:c>
      <x:c r="Q51" s="8" t="str"/>
    </x:row>
    <x:row r="52">
      <x:c r="A52" s="2" t="str">
        <x:v>LAB-051</x:v>
      </x:c>
      <x:c r="B52" s="2" t="str">
        <x:v>5. Segment Routing</x:v>
      </x:c>
      <x:c r="C52" s="2" t="str">
        <x:v>SR-MPLS</x:v>
      </x:c>
      <x:c r="D52" s="2" t="str">
        <x:v>Modern SP</x:v>
      </x:c>
      <x:c r="E52" s="2" t="str">
        <x:v>SR-MPLS OSPF baseline</x:v>
      </x:c>
      <x:c r="F52" s="8" t="str">
        <x:v>Build an OSPF SR domain and validate SID advertisements and forwarding.</x:v>
      </x:c>
      <x:c r="G52" s="8" t="str">
        <x:v>Minimum 4–8 routers as needed; add CE/host/traffic-generator nodes for service validation.</x:v>
      </x:c>
      <x:c r="H52" s="2" t="n">
        <x:v>4</x:v>
      </x:c>
      <x:c r="I52" s="2" t="str">
        <x:v>Advanced</x:v>
      </x:c>
      <x:c r="J52" s="2" t="str">
        <x:v>Beyond Exam</x:v>
      </x:c>
      <x:c r="K52" s="2" t="str">
        <x:v>LAB-050</x:v>
      </x:c>
      <x:c r="L52" s="2" t="str">
        <x:v>☐ Not Started</x:v>
      </x:c>
      <x:c r="M52" s="2" t="n">
        <x:v>0</x:v>
      </x:c>
      <x:c r="N52" s="2" t="str"/>
      <x:c r="O52" s="3"/>
      <x:c r="P52" s="8" t="str">
        <x:v>Save configs, key show commands, packet/traffic proof, fault notes, and a short root-cause summary.</x:v>
      </x:c>
      <x:c r="Q52" s="8" t="str"/>
    </x:row>
    <x:row r="53">
      <x:c r="A53" s="2" t="str">
        <x:v>LAB-052</x:v>
      </x:c>
      <x:c r="B53" s="2" t="str">
        <x:v>5. Segment Routing</x:v>
      </x:c>
      <x:c r="C53" s="2" t="str">
        <x:v>SR-MPLS</x:v>
      </x:c>
      <x:c r="D53" s="2" t="str">
        <x:v>Modern SP</x:v>
      </x:c>
      <x:c r="E53" s="2" t="str">
        <x:v>TI-LFA protection</x:v>
      </x:c>
      <x:c r="F53" s="8" t="str">
        <x:v>Demonstrate link and node protection and measure convergence.</x:v>
      </x:c>
      <x:c r="G53" s="8" t="str">
        <x:v>Minimum 4–8 routers as needed; add CE/host/traffic-generator nodes for service validation.</x:v>
      </x:c>
      <x:c r="H53" s="2" t="n">
        <x:v>4</x:v>
      </x:c>
      <x:c r="I53" s="2" t="str">
        <x:v>Advanced</x:v>
      </x:c>
      <x:c r="J53" s="2" t="str">
        <x:v>Beyond Exam</x:v>
      </x:c>
      <x:c r="K53" s="2" t="str">
        <x:v>LAB-051</x:v>
      </x:c>
      <x:c r="L53" s="2" t="str">
        <x:v>☐ Not Started</x:v>
      </x:c>
      <x:c r="M53" s="2" t="n">
        <x:v>0</x:v>
      </x:c>
      <x:c r="N53" s="2" t="str"/>
      <x:c r="O53" s="3"/>
      <x:c r="P53" s="8" t="str">
        <x:v>Save configs, key show commands, packet/traffic proof, fault notes, and a short root-cause summary.</x:v>
      </x:c>
      <x:c r="Q53" s="8" t="str"/>
    </x:row>
    <x:row r="54">
      <x:c r="A54" s="2" t="str">
        <x:v>LAB-053</x:v>
      </x:c>
      <x:c r="B54" s="2" t="str">
        <x:v>5. Segment Routing</x:v>
      </x:c>
      <x:c r="C54" s="2" t="str">
        <x:v>SR-MPLS</x:v>
      </x:c>
      <x:c r="D54" s="2" t="str">
        <x:v>Modern SP</x:v>
      </x:c>
      <x:c r="E54" s="2" t="str">
        <x:v>SR policy and explicit segment list</x:v>
      </x:c>
      <x:c r="F54" s="8" t="str">
        <x:v>Steer selected traffic over a segment list and verify recursion.</x:v>
      </x:c>
      <x:c r="G54" s="8" t="str">
        <x:v>Minimum 4–8 routers as needed; add CE/host/traffic-generator nodes for service validation.</x:v>
      </x:c>
      <x:c r="H54" s="2" t="n">
        <x:v>4</x:v>
      </x:c>
      <x:c r="I54" s="2" t="str">
        <x:v>Advanced</x:v>
      </x:c>
      <x:c r="J54" s="2" t="str">
        <x:v>Beyond Exam</x:v>
      </x:c>
      <x:c r="K54" s="2" t="str">
        <x:v>LAB-052</x:v>
      </x:c>
      <x:c r="L54" s="2" t="str">
        <x:v>☐ Not Started</x:v>
      </x:c>
      <x:c r="M54" s="2" t="n">
        <x:v>0</x:v>
      </x:c>
      <x:c r="N54" s="2" t="str"/>
      <x:c r="O54" s="3"/>
      <x:c r="P54" s="8" t="str">
        <x:v>Save configs, key show commands, packet/traffic proof, fault notes, and a short root-cause summary.</x:v>
      </x:c>
      <x:c r="Q54" s="8" t="str"/>
    </x:row>
    <x:row r="55">
      <x:c r="A55" s="2" t="str">
        <x:v>LAB-054</x:v>
      </x:c>
      <x:c r="B55" s="2" t="str">
        <x:v>5. Segment Routing</x:v>
      </x:c>
      <x:c r="C55" s="2" t="str">
        <x:v>SR-MPLS</x:v>
      </x:c>
      <x:c r="D55" s="2" t="str">
        <x:v>Modern SP</x:v>
      </x:c>
      <x:c r="E55" s="2" t="str">
        <x:v>BGP color and transport class</x:v>
      </x:c>
      <x:c r="F55" s="8" t="str">
        <x:v>Map color communities to transport intent and validate service resolution.</x:v>
      </x:c>
      <x:c r="G55" s="8" t="str">
        <x:v>Minimum 4–8 routers as needed; add CE/host/traffic-generator nodes for service validation.</x:v>
      </x:c>
      <x:c r="H55" s="2" t="n">
        <x:v>4</x:v>
      </x:c>
      <x:c r="I55" s="2" t="str">
        <x:v>Advanced</x:v>
      </x:c>
      <x:c r="J55" s="2" t="str">
        <x:v>Beyond Exam</x:v>
      </x:c>
      <x:c r="K55" s="2" t="str">
        <x:v>LAB-053</x:v>
      </x:c>
      <x:c r="L55" s="2" t="str">
        <x:v>☐ Not Started</x:v>
      </x:c>
      <x:c r="M55" s="2" t="n">
        <x:v>0</x:v>
      </x:c>
      <x:c r="N55" s="2" t="str"/>
      <x:c r="O55" s="3"/>
      <x:c r="P55" s="8" t="str">
        <x:v>Save configs, key show commands, packet/traffic proof, fault notes, and a short root-cause summary.</x:v>
      </x:c>
      <x:c r="Q55" s="8" t="str"/>
    </x:row>
    <x:row r="56">
      <x:c r="A56" s="2" t="str">
        <x:v>LAB-055</x:v>
      </x:c>
      <x:c r="B56" s="2" t="str">
        <x:v>5. Segment Routing</x:v>
      </x:c>
      <x:c r="C56" s="2" t="str">
        <x:v>SR-MPLS</x:v>
      </x:c>
      <x:c r="D56" s="2" t="str">
        <x:v>Modern SP</x:v>
      </x:c>
      <x:c r="E56" s="2" t="str">
        <x:v>SR/LDP interworking</x:v>
      </x:c>
      <x:c r="F56" s="8" t="str">
        <x:v>Preserve reachability across mixed SR and LDP domains.</x:v>
      </x:c>
      <x:c r="G56" s="8" t="str">
        <x:v>Minimum 4–8 routers as needed; add CE/host/traffic-generator nodes for service validation.</x:v>
      </x:c>
      <x:c r="H56" s="2" t="n">
        <x:v>4</x:v>
      </x:c>
      <x:c r="I56" s="2" t="str">
        <x:v>Advanced</x:v>
      </x:c>
      <x:c r="J56" s="2" t="str">
        <x:v>Beyond Exam</x:v>
      </x:c>
      <x:c r="K56" s="2" t="str">
        <x:v>LAB-054</x:v>
      </x:c>
      <x:c r="L56" s="2" t="str">
        <x:v>☐ Not Started</x:v>
      </x:c>
      <x:c r="M56" s="2" t="n">
        <x:v>0</x:v>
      </x:c>
      <x:c r="N56" s="2" t="str"/>
      <x:c r="O56" s="3"/>
      <x:c r="P56" s="8" t="str">
        <x:v>Save configs, key show commands, packet/traffic proof, fault notes, and a short root-cause summary.</x:v>
      </x:c>
      <x:c r="Q56" s="8" t="str"/>
    </x:row>
    <x:row r="57">
      <x:c r="A57" s="2" t="str">
        <x:v>LAB-056</x:v>
      </x:c>
      <x:c r="B57" s="2" t="str">
        <x:v>5. Segment Routing</x:v>
      </x:c>
      <x:c r="C57" s="2" t="str">
        <x:v>SR-MPLS</x:v>
      </x:c>
      <x:c r="D57" s="2" t="str">
        <x:v>Modern SP</x:v>
      </x:c>
      <x:c r="E57" s="2" t="str">
        <x:v>SR troubleshooting fault pack</x:v>
      </x:c>
      <x:c r="F57" s="8" t="str">
        <x:v>Repair duplicate SIDs, SRGB mismatch, missing advertisements and unresolved policies.</x:v>
      </x:c>
      <x:c r="G57" s="8" t="str">
        <x:v>Minimum 4–8 routers as needed; add CE/host/traffic-generator nodes for service validation.</x:v>
      </x:c>
      <x:c r="H57" s="2" t="n">
        <x:v>4</x:v>
      </x:c>
      <x:c r="I57" s="2" t="str">
        <x:v>Advanced</x:v>
      </x:c>
      <x:c r="J57" s="2" t="str">
        <x:v>Beyond Exam</x:v>
      </x:c>
      <x:c r="K57" s="2" t="str">
        <x:v>LAB-055</x:v>
      </x:c>
      <x:c r="L57" s="2" t="str">
        <x:v>☐ Not Started</x:v>
      </x:c>
      <x:c r="M57" s="2" t="n">
        <x:v>0</x:v>
      </x:c>
      <x:c r="N57" s="2" t="str"/>
      <x:c r="O57" s="3"/>
      <x:c r="P57" s="8" t="str">
        <x:v>Save configs, key show commands, packet/traffic proof, fault notes, and a short root-cause summary.</x:v>
      </x:c>
      <x:c r="Q57" s="8" t="str"/>
    </x:row>
    <x:row r="58">
      <x:c r="A58" s="2" t="str">
        <x:v>LAB-057</x:v>
      </x:c>
      <x:c r="B58" s="2" t="str">
        <x:v>6. Layer 3 VPN</x:v>
      </x:c>
      <x:c r="C58" s="2" t="str">
        <x:v>L3VPN</x:v>
      </x:c>
      <x:c r="D58" s="2" t="str">
        <x:v>Expert</x:v>
      </x:c>
      <x:c r="E58" s="2" t="str">
        <x:v>Single-homed L3VPN baseline</x:v>
      </x:c>
      <x:c r="F58" s="8" t="str">
        <x:v>Build VRF, RD, RT, PE-CE routing and verify VPN label forwarding.</x:v>
      </x:c>
      <x:c r="G58" s="8" t="str">
        <x:v>Minimum 4–8 routers as needed; add CE/host/traffic-generator nodes for service validation.</x:v>
      </x:c>
      <x:c r="H58" s="2" t="n">
        <x:v>4</x:v>
      </x:c>
      <x:c r="I58" s="2" t="str">
        <x:v>Expert</x:v>
      </x:c>
      <x:c r="J58" s="2" t="str">
        <x:v>Core</x:v>
      </x:c>
      <x:c r="K58" s="2" t="str"/>
      <x:c r="L58" s="2" t="str">
        <x:v>☐ Not Started</x:v>
      </x:c>
      <x:c r="M58" s="2" t="n">
        <x:v>0</x:v>
      </x:c>
      <x:c r="N58" s="2" t="str"/>
      <x:c r="O58" s="3"/>
      <x:c r="P58" s="8" t="str">
        <x:v>Save configs, key show commands, packet/traffic proof, fault notes, and a short root-cause summary.</x:v>
      </x:c>
      <x:c r="Q58" s="8" t="str"/>
    </x:row>
    <x:row r="59">
      <x:c r="A59" s="2" t="str">
        <x:v>LAB-058</x:v>
      </x:c>
      <x:c r="B59" s="2" t="str">
        <x:v>6. Layer 3 VPN</x:v>
      </x:c>
      <x:c r="C59" s="2" t="str">
        <x:v>L3VPN</x:v>
      </x:c>
      <x:c r="D59" s="2" t="str">
        <x:v>Expert</x:v>
      </x:c>
      <x:c r="E59" s="2" t="str">
        <x:v>L3VPN OSPF PE-CE</x:v>
      </x:c>
      <x:c r="F59" s="8" t="str">
        <x:v>Control domain ID, sham links, route type and DN-bit loop prevention.</x:v>
      </x:c>
      <x:c r="G59" s="8" t="str">
        <x:v>Minimum 4–8 routers as needed; add CE/host/traffic-generator nodes for service validation.</x:v>
      </x:c>
      <x:c r="H59" s="2" t="n">
        <x:v>4</x:v>
      </x:c>
      <x:c r="I59" s="2" t="str">
        <x:v>Expert</x:v>
      </x:c>
      <x:c r="J59" s="2" t="str">
        <x:v>Core</x:v>
      </x:c>
      <x:c r="K59" s="2" t="str">
        <x:v>LAB-057</x:v>
      </x:c>
      <x:c r="L59" s="2" t="str">
        <x:v>☐ Not Started</x:v>
      </x:c>
      <x:c r="M59" s="2" t="n">
        <x:v>0</x:v>
      </x:c>
      <x:c r="N59" s="2" t="str"/>
      <x:c r="O59" s="3"/>
      <x:c r="P59" s="8" t="str">
        <x:v>Save configs, key show commands, packet/traffic proof, fault notes, and a short root-cause summary.</x:v>
      </x:c>
      <x:c r="Q59" s="8" t="str"/>
    </x:row>
    <x:row r="60">
      <x:c r="A60" s="2" t="str">
        <x:v>LAB-059</x:v>
      </x:c>
      <x:c r="B60" s="2" t="str">
        <x:v>6. Layer 3 VPN</x:v>
      </x:c>
      <x:c r="C60" s="2" t="str">
        <x:v>L3VPN</x:v>
      </x:c>
      <x:c r="D60" s="2" t="str">
        <x:v>Expert</x:v>
      </x:c>
      <x:c r="E60" s="2" t="str">
        <x:v>L3VPN BGP PE-CE</x:v>
      </x:c>
      <x:c r="F60" s="8" t="str">
        <x:v>Apply AS override, as-override alternatives, allowas-in concepts and site-of-origin.</x:v>
      </x:c>
      <x:c r="G60" s="8" t="str">
        <x:v>Minimum 4–8 routers as needed; add CE/host/traffic-generator nodes for service validation.</x:v>
      </x:c>
      <x:c r="H60" s="2" t="n">
        <x:v>4</x:v>
      </x:c>
      <x:c r="I60" s="2" t="str">
        <x:v>Expert</x:v>
      </x:c>
      <x:c r="J60" s="2" t="str">
        <x:v>Core</x:v>
      </x:c>
      <x:c r="K60" s="2" t="str">
        <x:v>LAB-058</x:v>
      </x:c>
      <x:c r="L60" s="2" t="str">
        <x:v>☐ Not Started</x:v>
      </x:c>
      <x:c r="M60" s="2" t="n">
        <x:v>0</x:v>
      </x:c>
      <x:c r="N60" s="2" t="str"/>
      <x:c r="O60" s="3"/>
      <x:c r="P60" s="8" t="str">
        <x:v>Save configs, key show commands, packet/traffic proof, fault notes, and a short root-cause summary.</x:v>
      </x:c>
      <x:c r="Q60" s="8" t="str"/>
    </x:row>
    <x:row r="61">
      <x:c r="A61" s="2" t="str">
        <x:v>LAB-060</x:v>
      </x:c>
      <x:c r="B61" s="2" t="str">
        <x:v>6. Layer 3 VPN</x:v>
      </x:c>
      <x:c r="C61" s="2" t="str">
        <x:v>L3VPN</x:v>
      </x:c>
      <x:c r="D61" s="2" t="str">
        <x:v>Expert</x:v>
      </x:c>
      <x:c r="E61" s="2" t="str">
        <x:v>L3VPN route leaking</x:v>
      </x:c>
      <x:c r="F61" s="8" t="str">
        <x:v>Implement controlled extranet import/export with unique policy and loop protection.</x:v>
      </x:c>
      <x:c r="G61" s="8" t="str">
        <x:v>Minimum 4–8 routers as needed; add CE/host/traffic-generator nodes for service validation.</x:v>
      </x:c>
      <x:c r="H61" s="2" t="n">
        <x:v>4</x:v>
      </x:c>
      <x:c r="I61" s="2" t="str">
        <x:v>Expert</x:v>
      </x:c>
      <x:c r="J61" s="2" t="str">
        <x:v>Core</x:v>
      </x:c>
      <x:c r="K61" s="2" t="str">
        <x:v>LAB-059</x:v>
      </x:c>
      <x:c r="L61" s="2" t="str">
        <x:v>☐ Not Started</x:v>
      </x:c>
      <x:c r="M61" s="2" t="n">
        <x:v>0</x:v>
      </x:c>
      <x:c r="N61" s="2" t="str"/>
      <x:c r="O61" s="3"/>
      <x:c r="P61" s="8" t="str">
        <x:v>Save configs, key show commands, packet/traffic proof, fault notes, and a short root-cause summary.</x:v>
      </x:c>
      <x:c r="Q61" s="8" t="str"/>
    </x:row>
    <x:row r="62">
      <x:c r="A62" s="2" t="str">
        <x:v>LAB-061</x:v>
      </x:c>
      <x:c r="B62" s="2" t="str">
        <x:v>6. Layer 3 VPN</x:v>
      </x:c>
      <x:c r="C62" s="2" t="str">
        <x:v>L3VPN</x:v>
      </x:c>
      <x:c r="D62" s="2" t="str">
        <x:v>Expert</x:v>
      </x:c>
      <x:c r="E62" s="2" t="str">
        <x:v>Hub-and-spoke L3VPN</x:v>
      </x:c>
      <x:c r="F62" s="8" t="str">
        <x:v>Build directional RT policy and prove spoke-to-spoke forwarding constraints.</x:v>
      </x:c>
      <x:c r="G62" s="8" t="str">
        <x:v>Minimum 4–8 routers as needed; add CE/host/traffic-generator nodes for service validation.</x:v>
      </x:c>
      <x:c r="H62" s="2" t="n">
        <x:v>4</x:v>
      </x:c>
      <x:c r="I62" s="2" t="str">
        <x:v>Expert</x:v>
      </x:c>
      <x:c r="J62" s="2" t="str">
        <x:v>Core</x:v>
      </x:c>
      <x:c r="K62" s="2" t="str">
        <x:v>LAB-060</x:v>
      </x:c>
      <x:c r="L62" s="2" t="str">
        <x:v>☐ Not Started</x:v>
      </x:c>
      <x:c r="M62" s="2" t="n">
        <x:v>0</x:v>
      </x:c>
      <x:c r="N62" s="2" t="str"/>
      <x:c r="O62" s="3"/>
      <x:c r="P62" s="8" t="str">
        <x:v>Save configs, key show commands, packet/traffic proof, fault notes, and a short root-cause summary.</x:v>
      </x:c>
      <x:c r="Q62" s="8" t="str"/>
    </x:row>
    <x:row r="63">
      <x:c r="A63" s="2" t="str">
        <x:v>LAB-062</x:v>
      </x:c>
      <x:c r="B63" s="2" t="str">
        <x:v>6. Layer 3 VPN</x:v>
      </x:c>
      <x:c r="C63" s="2" t="str">
        <x:v>L3VPN</x:v>
      </x:c>
      <x:c r="D63" s="2" t="str">
        <x:v>Expert</x:v>
      </x:c>
      <x:c r="E63" s="2" t="str">
        <x:v>L3VPN load balancing and multihoming</x:v>
      </x:c>
      <x:c r="F63" s="8" t="str">
        <x:v>Test CE dual-homing, multipath, site-of-origin and failure behavior.</x:v>
      </x:c>
      <x:c r="G63" s="8" t="str">
        <x:v>Minimum 4–8 routers as needed; add CE/host/traffic-generator nodes for service validation.</x:v>
      </x:c>
      <x:c r="H63" s="2" t="n">
        <x:v>4</x:v>
      </x:c>
      <x:c r="I63" s="2" t="str">
        <x:v>Expert</x:v>
      </x:c>
      <x:c r="J63" s="2" t="str">
        <x:v>Core</x:v>
      </x:c>
      <x:c r="K63" s="2" t="str">
        <x:v>LAB-061</x:v>
      </x:c>
      <x:c r="L63" s="2" t="str">
        <x:v>☐ Not Started</x:v>
      </x:c>
      <x:c r="M63" s="2" t="n">
        <x:v>0</x:v>
      </x:c>
      <x:c r="N63" s="2" t="str"/>
      <x:c r="O63" s="3"/>
      <x:c r="P63" s="8" t="str">
        <x:v>Save configs, key show commands, packet/traffic proof, fault notes, and a short root-cause summary.</x:v>
      </x:c>
      <x:c r="Q63" s="8" t="str"/>
    </x:row>
    <x:row r="64">
      <x:c r="A64" s="2" t="str">
        <x:v>LAB-063</x:v>
      </x:c>
      <x:c r="B64" s="2" t="str">
        <x:v>6. Layer 3 VPN</x:v>
      </x:c>
      <x:c r="C64" s="2" t="str">
        <x:v>L3VPN</x:v>
      </x:c>
      <x:c r="D64" s="2" t="str">
        <x:v>Expert</x:v>
      </x:c>
      <x:c r="E64" s="2" t="str">
        <x:v>VRF route limit and protection</x:v>
      </x:c>
      <x:c r="F64" s="8" t="str">
        <x:v>Enforce limits and analyze operational recovery.</x:v>
      </x:c>
      <x:c r="G64" s="8" t="str">
        <x:v>Minimum 4–8 routers as needed; add CE/host/traffic-generator nodes for service validation.</x:v>
      </x:c>
      <x:c r="H64" s="2" t="n">
        <x:v>4</x:v>
      </x:c>
      <x:c r="I64" s="2" t="str">
        <x:v>Expert</x:v>
      </x:c>
      <x:c r="J64" s="2" t="str">
        <x:v>Core</x:v>
      </x:c>
      <x:c r="K64" s="2" t="str">
        <x:v>LAB-062</x:v>
      </x:c>
      <x:c r="L64" s="2" t="str">
        <x:v>☐ Not Started</x:v>
      </x:c>
      <x:c r="M64" s="2" t="n">
        <x:v>0</x:v>
      </x:c>
      <x:c r="N64" s="2" t="str"/>
      <x:c r="O64" s="3"/>
      <x:c r="P64" s="8" t="str">
        <x:v>Save configs, key show commands, packet/traffic proof, fault notes, and a short root-cause summary.</x:v>
      </x:c>
      <x:c r="Q64" s="8" t="str"/>
    </x:row>
    <x:row r="65">
      <x:c r="A65" s="2" t="str">
        <x:v>LAB-064</x:v>
      </x:c>
      <x:c r="B65" s="2" t="str">
        <x:v>6. Layer 3 VPN</x:v>
      </x:c>
      <x:c r="C65" s="2" t="str">
        <x:v>L3VPN</x:v>
      </x:c>
      <x:c r="D65" s="2" t="str">
        <x:v>Expert</x:v>
      </x:c>
      <x:c r="E65" s="2" t="str">
        <x:v>L3VPN troubleshooting fault pack</x:v>
      </x:c>
      <x:c r="F65" s="8" t="str">
        <x:v>Repair RT, RD, label, inet.3, policy, PE-CE and next-hop failures.</x:v>
      </x:c>
      <x:c r="G65" s="8" t="str">
        <x:v>Minimum 4–8 routers as needed; add CE/host/traffic-generator nodes for service validation.</x:v>
      </x:c>
      <x:c r="H65" s="2" t="n">
        <x:v>4</x:v>
      </x:c>
      <x:c r="I65" s="2" t="str">
        <x:v>Expert</x:v>
      </x:c>
      <x:c r="J65" s="2" t="str">
        <x:v>Core</x:v>
      </x:c>
      <x:c r="K65" s="2" t="str">
        <x:v>LAB-063</x:v>
      </x:c>
      <x:c r="L65" s="2" t="str">
        <x:v>☐ Not Started</x:v>
      </x:c>
      <x:c r="M65" s="2" t="n">
        <x:v>0</x:v>
      </x:c>
      <x:c r="N65" s="2" t="str"/>
      <x:c r="O65" s="3"/>
      <x:c r="P65" s="8" t="str">
        <x:v>Save configs, key show commands, packet/traffic proof, fault notes, and a short root-cause summary.</x:v>
      </x:c>
      <x:c r="Q65" s="8" t="str"/>
    </x:row>
    <x:row r="66">
      <x:c r="A66" s="2" t="str">
        <x:v>LAB-065</x:v>
      </x:c>
      <x:c r="B66" s="2" t="str">
        <x:v>6. Layer 3 VPN</x:v>
      </x:c>
      <x:c r="C66" s="2" t="str">
        <x:v>L3VPN</x:v>
      </x:c>
      <x:c r="D66" s="2" t="str">
        <x:v>Expert</x:v>
      </x:c>
      <x:c r="E66" s="2" t="str">
        <x:v>Carrier supporting carrier</x:v>
      </x:c>
      <x:c r="F66" s="8" t="str">
        <x:v>Carry customer-carrier labeled routes across a provider L3VPN.</x:v>
      </x:c>
      <x:c r="G66" s="8" t="str">
        <x:v>Minimum 4–8 routers as needed; add CE/host/traffic-generator nodes for service validation.</x:v>
      </x:c>
      <x:c r="H66" s="2" t="n">
        <x:v>4</x:v>
      </x:c>
      <x:c r="I66" s="2" t="str">
        <x:v>Expert</x:v>
      </x:c>
      <x:c r="J66" s="2" t="str">
        <x:v>Core</x:v>
      </x:c>
      <x:c r="K66" s="2" t="str">
        <x:v>LAB-064</x:v>
      </x:c>
      <x:c r="L66" s="2" t="str">
        <x:v>☐ Not Started</x:v>
      </x:c>
      <x:c r="M66" s="2" t="n">
        <x:v>0</x:v>
      </x:c>
      <x:c r="N66" s="2" t="str"/>
      <x:c r="O66" s="3"/>
      <x:c r="P66" s="8" t="str">
        <x:v>Save configs, key show commands, packet/traffic proof, fault notes, and a short root-cause summary.</x:v>
      </x:c>
      <x:c r="Q66" s="8" t="str"/>
    </x:row>
    <x:row r="67">
      <x:c r="A67" s="2" t="str">
        <x:v>LAB-066</x:v>
      </x:c>
      <x:c r="B67" s="2" t="str">
        <x:v>6. Layer 3 VPN</x:v>
      </x:c>
      <x:c r="C67" s="2" t="str">
        <x:v>L3VPN</x:v>
      </x:c>
      <x:c r="D67" s="2" t="str">
        <x:v>Expert</x:v>
      </x:c>
      <x:c r="E67" s="2" t="str">
        <x:v>Inter-AS option A</x:v>
      </x:c>
      <x:c r="F67" s="8" t="str">
        <x:v>Build back-to-back VRFs and document scale and operational boundaries.</x:v>
      </x:c>
      <x:c r="G67" s="8" t="str">
        <x:v>Minimum 4–8 routers as needed; add CE/host/traffic-generator nodes for service validation.</x:v>
      </x:c>
      <x:c r="H67" s="2" t="n">
        <x:v>4</x:v>
      </x:c>
      <x:c r="I67" s="2" t="str">
        <x:v>Expert</x:v>
      </x:c>
      <x:c r="J67" s="2" t="str">
        <x:v>Core</x:v>
      </x:c>
      <x:c r="K67" s="2" t="str">
        <x:v>LAB-065</x:v>
      </x:c>
      <x:c r="L67" s="2" t="str">
        <x:v>☐ Not Started</x:v>
      </x:c>
      <x:c r="M67" s="2" t="n">
        <x:v>0</x:v>
      </x:c>
      <x:c r="N67" s="2" t="str"/>
      <x:c r="O67" s="3"/>
      <x:c r="P67" s="8" t="str">
        <x:v>Save configs, key show commands, packet/traffic proof, fault notes, and a short root-cause summary.</x:v>
      </x:c>
      <x:c r="Q67" s="8" t="str"/>
    </x:row>
    <x:row r="68">
      <x:c r="A68" s="2" t="str">
        <x:v>LAB-067</x:v>
      </x:c>
      <x:c r="B68" s="2" t="str">
        <x:v>6. Layer 3 VPN</x:v>
      </x:c>
      <x:c r="C68" s="2" t="str">
        <x:v>L3VPN</x:v>
      </x:c>
      <x:c r="D68" s="2" t="str">
        <x:v>Expert</x:v>
      </x:c>
      <x:c r="E68" s="2" t="str">
        <x:v>Inter-AS option B</x:v>
      </x:c>
      <x:c r="F68" s="8" t="str">
        <x:v>Exchange VPNv4 routes and labels at ASBRs with correct policy.</x:v>
      </x:c>
      <x:c r="G68" s="8" t="str">
        <x:v>Minimum 4–8 routers as needed; add CE/host/traffic-generator nodes for service validation.</x:v>
      </x:c>
      <x:c r="H68" s="2" t="n">
        <x:v>4</x:v>
      </x:c>
      <x:c r="I68" s="2" t="str">
        <x:v>Expert</x:v>
      </x:c>
      <x:c r="J68" s="2" t="str">
        <x:v>Core</x:v>
      </x:c>
      <x:c r="K68" s="2" t="str">
        <x:v>LAB-066</x:v>
      </x:c>
      <x:c r="L68" s="2" t="str">
        <x:v>☐ Not Started</x:v>
      </x:c>
      <x:c r="M68" s="2" t="n">
        <x:v>0</x:v>
      </x:c>
      <x:c r="N68" s="2" t="str"/>
      <x:c r="O68" s="3"/>
      <x:c r="P68" s="8" t="str">
        <x:v>Save configs, key show commands, packet/traffic proof, fault notes, and a short root-cause summary.</x:v>
      </x:c>
      <x:c r="Q68" s="8" t="str"/>
    </x:row>
    <x:row r="69">
      <x:c r="A69" s="2" t="str">
        <x:v>LAB-068</x:v>
      </x:c>
      <x:c r="B69" s="2" t="str">
        <x:v>6. Layer 3 VPN</x:v>
      </x:c>
      <x:c r="C69" s="2" t="str">
        <x:v>L3VPN</x:v>
      </x:c>
      <x:c r="D69" s="2" t="str">
        <x:v>Expert</x:v>
      </x:c>
      <x:c r="E69" s="2" t="str">
        <x:v>Inter-AS option C</x:v>
      </x:c>
      <x:c r="F69" s="8" t="str">
        <x:v>Build labeled PE reachability and multihop VPN route exchange end to end.</x:v>
      </x:c>
      <x:c r="G69" s="8" t="str">
        <x:v>Minimum 4–8 routers as needed; add CE/host/traffic-generator nodes for service validation.</x:v>
      </x:c>
      <x:c r="H69" s="2" t="n">
        <x:v>4</x:v>
      </x:c>
      <x:c r="I69" s="2" t="str">
        <x:v>Expert</x:v>
      </x:c>
      <x:c r="J69" s="2" t="str">
        <x:v>Core</x:v>
      </x:c>
      <x:c r="K69" s="2" t="str">
        <x:v>LAB-067</x:v>
      </x:c>
      <x:c r="L69" s="2" t="str">
        <x:v>☐ Not Started</x:v>
      </x:c>
      <x:c r="M69" s="2" t="n">
        <x:v>0</x:v>
      </x:c>
      <x:c r="N69" s="2" t="str"/>
      <x:c r="O69" s="3"/>
      <x:c r="P69" s="8" t="str">
        <x:v>Save configs, key show commands, packet/traffic proof, fault notes, and a short root-cause summary.</x:v>
      </x:c>
      <x:c r="Q69" s="8" t="str"/>
    </x:row>
    <x:row r="70">
      <x:c r="A70" s="2" t="str">
        <x:v>LAB-069</x:v>
      </x:c>
      <x:c r="B70" s="2" t="str">
        <x:v>7. Layer 2 Services</x:v>
      </x:c>
      <x:c r="C70" s="2" t="str">
        <x:v>L2VPN &amp; VPLS</x:v>
      </x:c>
      <x:c r="D70" s="2" t="str">
        <x:v>Expert</x:v>
      </x:c>
      <x:c r="E70" s="2" t="str">
        <x:v>LDP pseudowire baseline</x:v>
      </x:c>
      <x:c r="F70" s="8" t="str">
        <x:v>Build an l2circuit and verify VC label, status TLV and control word.</x:v>
      </x:c>
      <x:c r="G70" s="8" t="str">
        <x:v>Minimum 4–8 routers as needed; add CE/host/traffic-generator nodes for service validation.</x:v>
      </x:c>
      <x:c r="H70" s="2" t="n">
        <x:v>4</x:v>
      </x:c>
      <x:c r="I70" s="2" t="str">
        <x:v>Expert</x:v>
      </x:c>
      <x:c r="J70" s="2" t="str">
        <x:v>Core</x:v>
      </x:c>
      <x:c r="K70" s="2" t="str"/>
      <x:c r="L70" s="2" t="str">
        <x:v>☐ Not Started</x:v>
      </x:c>
      <x:c r="M70" s="2" t="n">
        <x:v>0</x:v>
      </x:c>
      <x:c r="N70" s="2" t="str"/>
      <x:c r="O70" s="3"/>
      <x:c r="P70" s="8" t="str">
        <x:v>Save configs, key show commands, packet/traffic proof, fault notes, and a short root-cause summary.</x:v>
      </x:c>
      <x:c r="Q70" s="8" t="str"/>
    </x:row>
    <x:row r="71">
      <x:c r="A71" s="2" t="str">
        <x:v>LAB-070</x:v>
      </x:c>
      <x:c r="B71" s="2" t="str">
        <x:v>7. Layer 2 Services</x:v>
      </x:c>
      <x:c r="C71" s="2" t="str">
        <x:v>L2VPN &amp; VPLS</x:v>
      </x:c>
      <x:c r="D71" s="2" t="str">
        <x:v>Expert</x:v>
      </x:c>
      <x:c r="E71" s="2" t="str">
        <x:v>Pseudowire FEC 128 versus 129</x:v>
      </x:c>
      <x:c r="F71" s="8" t="str">
        <x:v>Compare signaling behavior and troubleshoot endpoint identification.</x:v>
      </x:c>
      <x:c r="G71" s="8" t="str">
        <x:v>Minimum 4–8 routers as needed; add CE/host/traffic-generator nodes for service validation.</x:v>
      </x:c>
      <x:c r="H71" s="2" t="n">
        <x:v>4</x:v>
      </x:c>
      <x:c r="I71" s="2" t="str">
        <x:v>Expert</x:v>
      </x:c>
      <x:c r="J71" s="2" t="str">
        <x:v>Core</x:v>
      </x:c>
      <x:c r="K71" s="2" t="str">
        <x:v>LAB-069</x:v>
      </x:c>
      <x:c r="L71" s="2" t="str">
        <x:v>☐ Not Started</x:v>
      </x:c>
      <x:c r="M71" s="2" t="n">
        <x:v>0</x:v>
      </x:c>
      <x:c r="N71" s="2" t="str"/>
      <x:c r="O71" s="3"/>
      <x:c r="P71" s="8" t="str">
        <x:v>Save configs, key show commands, packet/traffic proof, fault notes, and a short root-cause summary.</x:v>
      </x:c>
      <x:c r="Q71" s="8" t="str"/>
    </x:row>
    <x:row r="72">
      <x:c r="A72" s="2" t="str">
        <x:v>LAB-071</x:v>
      </x:c>
      <x:c r="B72" s="2" t="str">
        <x:v>7. Layer 2 Services</x:v>
      </x:c>
      <x:c r="C72" s="2" t="str">
        <x:v>L2VPN &amp; VPLS</x:v>
      </x:c>
      <x:c r="D72" s="2" t="str">
        <x:v>Expert</x:v>
      </x:c>
      <x:c r="E72" s="2" t="str">
        <x:v>Pseudowire redundancy</x:v>
      </x:c>
      <x:c r="F72" s="8" t="str">
        <x:v>Build primary/backup pseudowires and validate switchover.</x:v>
      </x:c>
      <x:c r="G72" s="8" t="str">
        <x:v>Minimum 4–8 routers as needed; add CE/host/traffic-generator nodes for service validation.</x:v>
      </x:c>
      <x:c r="H72" s="2" t="n">
        <x:v>4</x:v>
      </x:c>
      <x:c r="I72" s="2" t="str">
        <x:v>Expert</x:v>
      </x:c>
      <x:c r="J72" s="2" t="str">
        <x:v>Core</x:v>
      </x:c>
      <x:c r="K72" s="2" t="str">
        <x:v>LAB-070</x:v>
      </x:c>
      <x:c r="L72" s="2" t="str">
        <x:v>☐ Not Started</x:v>
      </x:c>
      <x:c r="M72" s="2" t="n">
        <x:v>0</x:v>
      </x:c>
      <x:c r="N72" s="2" t="str"/>
      <x:c r="O72" s="3"/>
      <x:c r="P72" s="8" t="str">
        <x:v>Save configs, key show commands, packet/traffic proof, fault notes, and a short root-cause summary.</x:v>
      </x:c>
      <x:c r="Q72" s="8" t="str"/>
    </x:row>
    <x:row r="73">
      <x:c r="A73" s="2" t="str">
        <x:v>LAB-072</x:v>
      </x:c>
      <x:c r="B73" s="2" t="str">
        <x:v>7. Layer 2 Services</x:v>
      </x:c>
      <x:c r="C73" s="2" t="str">
        <x:v>L2VPN &amp; VPLS</x:v>
      </x:c>
      <x:c r="D73" s="2" t="str">
        <x:v>Expert</x:v>
      </x:c>
      <x:c r="E73" s="2" t="str">
        <x:v>BGP-signaled L2VPN</x:v>
      </x:c>
      <x:c r="F73" s="8" t="str">
        <x:v>Deploy Kompella L2VPN and interpret NLRI, labels and site identifiers.</x:v>
      </x:c>
      <x:c r="G73" s="8" t="str">
        <x:v>Minimum 4–8 routers as needed; add CE/host/traffic-generator nodes for service validation.</x:v>
      </x:c>
      <x:c r="H73" s="2" t="n">
        <x:v>4</x:v>
      </x:c>
      <x:c r="I73" s="2" t="str">
        <x:v>Expert</x:v>
      </x:c>
      <x:c r="J73" s="2" t="str">
        <x:v>Core</x:v>
      </x:c>
      <x:c r="K73" s="2" t="str">
        <x:v>LAB-071</x:v>
      </x:c>
      <x:c r="L73" s="2" t="str">
        <x:v>☐ Not Started</x:v>
      </x:c>
      <x:c r="M73" s="2" t="n">
        <x:v>0</x:v>
      </x:c>
      <x:c r="N73" s="2" t="str"/>
      <x:c r="O73" s="3"/>
      <x:c r="P73" s="8" t="str">
        <x:v>Save configs, key show commands, packet/traffic proof, fault notes, and a short root-cause summary.</x:v>
      </x:c>
      <x:c r="Q73" s="8" t="str"/>
    </x:row>
    <x:row r="74">
      <x:c r="A74" s="2" t="str">
        <x:v>LAB-073</x:v>
      </x:c>
      <x:c r="B74" s="2" t="str">
        <x:v>7. Layer 2 Services</x:v>
      </x:c>
      <x:c r="C74" s="2" t="str">
        <x:v>L2VPN &amp; VPLS</x:v>
      </x:c>
      <x:c r="D74" s="2" t="str">
        <x:v>Expert</x:v>
      </x:c>
      <x:c r="E74" s="2" t="str">
        <x:v>LDP VPLS</x:v>
      </x:c>
      <x:c r="F74" s="8" t="str">
        <x:v>Build Martini-signaled VPLS and verify MAC learning and split horizon.</x:v>
      </x:c>
      <x:c r="G74" s="8" t="str">
        <x:v>Minimum 4–8 routers as needed; add CE/host/traffic-generator nodes for service validation.</x:v>
      </x:c>
      <x:c r="H74" s="2" t="n">
        <x:v>4</x:v>
      </x:c>
      <x:c r="I74" s="2" t="str">
        <x:v>Expert</x:v>
      </x:c>
      <x:c r="J74" s="2" t="str">
        <x:v>Core</x:v>
      </x:c>
      <x:c r="K74" s="2" t="str">
        <x:v>LAB-072</x:v>
      </x:c>
      <x:c r="L74" s="2" t="str">
        <x:v>☐ Not Started</x:v>
      </x:c>
      <x:c r="M74" s="2" t="n">
        <x:v>0</x:v>
      </x:c>
      <x:c r="N74" s="2" t="str"/>
      <x:c r="O74" s="3"/>
      <x:c r="P74" s="8" t="str">
        <x:v>Save configs, key show commands, packet/traffic proof, fault notes, and a short root-cause summary.</x:v>
      </x:c>
      <x:c r="Q74" s="8" t="str"/>
    </x:row>
    <x:row r="75">
      <x:c r="A75" s="2" t="str">
        <x:v>LAB-074</x:v>
      </x:c>
      <x:c r="B75" s="2" t="str">
        <x:v>7. Layer 2 Services</x:v>
      </x:c>
      <x:c r="C75" s="2" t="str">
        <x:v>L2VPN &amp; VPLS</x:v>
      </x:c>
      <x:c r="D75" s="2" t="str">
        <x:v>Expert</x:v>
      </x:c>
      <x:c r="E75" s="2" t="str">
        <x:v>BGP VPLS</x:v>
      </x:c>
      <x:c r="F75" s="8" t="str">
        <x:v>Build BGP auto-discovery/signaling VPLS and analyze label blocks.</x:v>
      </x:c>
      <x:c r="G75" s="8" t="str">
        <x:v>Minimum 4–8 routers as needed; add CE/host/traffic-generator nodes for service validation.</x:v>
      </x:c>
      <x:c r="H75" s="2" t="n">
        <x:v>4</x:v>
      </x:c>
      <x:c r="I75" s="2" t="str">
        <x:v>Expert</x:v>
      </x:c>
      <x:c r="J75" s="2" t="str">
        <x:v>Core</x:v>
      </x:c>
      <x:c r="K75" s="2" t="str">
        <x:v>LAB-073</x:v>
      </x:c>
      <x:c r="L75" s="2" t="str">
        <x:v>☐ Not Started</x:v>
      </x:c>
      <x:c r="M75" s="2" t="n">
        <x:v>0</x:v>
      </x:c>
      <x:c r="N75" s="2" t="str"/>
      <x:c r="O75" s="3"/>
      <x:c r="P75" s="8" t="str">
        <x:v>Save configs, key show commands, packet/traffic proof, fault notes, and a short root-cause summary.</x:v>
      </x:c>
      <x:c r="Q75" s="8" t="str"/>
    </x:row>
    <x:row r="76">
      <x:c r="A76" s="2" t="str">
        <x:v>LAB-075</x:v>
      </x:c>
      <x:c r="B76" s="2" t="str">
        <x:v>7. Layer 2 Services</x:v>
      </x:c>
      <x:c r="C76" s="2" t="str">
        <x:v>L2VPN &amp; VPLS</x:v>
      </x:c>
      <x:c r="D76" s="2" t="str">
        <x:v>Expert</x:v>
      </x:c>
      <x:c r="E76" s="2" t="str">
        <x:v>VPLS multihoming</x:v>
      </x:c>
      <x:c r="F76" s="8" t="str">
        <x:v>Prevent loops and test designated-forwarder/site preference behavior.</x:v>
      </x:c>
      <x:c r="G76" s="8" t="str">
        <x:v>Minimum 4–8 routers as needed; add CE/host/traffic-generator nodes for service validation.</x:v>
      </x:c>
      <x:c r="H76" s="2" t="n">
        <x:v>4</x:v>
      </x:c>
      <x:c r="I76" s="2" t="str">
        <x:v>Expert</x:v>
      </x:c>
      <x:c r="J76" s="2" t="str">
        <x:v>Core</x:v>
      </x:c>
      <x:c r="K76" s="2" t="str">
        <x:v>LAB-074</x:v>
      </x:c>
      <x:c r="L76" s="2" t="str">
        <x:v>☐ Not Started</x:v>
      </x:c>
      <x:c r="M76" s="2" t="n">
        <x:v>0</x:v>
      </x:c>
      <x:c r="N76" s="2" t="str"/>
      <x:c r="O76" s="3"/>
      <x:c r="P76" s="8" t="str">
        <x:v>Save configs, key show commands, packet/traffic proof, fault notes, and a short root-cause summary.</x:v>
      </x:c>
      <x:c r="Q76" s="8" t="str"/>
    </x:row>
    <x:row r="77">
      <x:c r="A77" s="2" t="str">
        <x:v>LAB-076</x:v>
      </x:c>
      <x:c r="B77" s="2" t="str">
        <x:v>7. Layer 2 Services</x:v>
      </x:c>
      <x:c r="C77" s="2" t="str">
        <x:v>L2VPN &amp; VPLS</x:v>
      </x:c>
      <x:c r="D77" s="2" t="str">
        <x:v>Expert</x:v>
      </x:c>
      <x:c r="E77" s="2" t="str">
        <x:v>L2 service interworking</x:v>
      </x:c>
      <x:c r="F77" s="8" t="str">
        <x:v>Test VLAN normalization, encapsulation mismatch, MTU and control-word faults.</x:v>
      </x:c>
      <x:c r="G77" s="8" t="str">
        <x:v>Minimum 4–8 routers as needed; add CE/host/traffic-generator nodes for service validation.</x:v>
      </x:c>
      <x:c r="H77" s="2" t="n">
        <x:v>4</x:v>
      </x:c>
      <x:c r="I77" s="2" t="str">
        <x:v>Expert</x:v>
      </x:c>
      <x:c r="J77" s="2" t="str">
        <x:v>Core</x:v>
      </x:c>
      <x:c r="K77" s="2" t="str">
        <x:v>LAB-075</x:v>
      </x:c>
      <x:c r="L77" s="2" t="str">
        <x:v>☐ Not Started</x:v>
      </x:c>
      <x:c r="M77" s="2" t="n">
        <x:v>0</x:v>
      </x:c>
      <x:c r="N77" s="2" t="str"/>
      <x:c r="O77" s="3"/>
      <x:c r="P77" s="8" t="str">
        <x:v>Save configs, key show commands, packet/traffic proof, fault notes, and a short root-cause summary.</x:v>
      </x:c>
      <x:c r="Q77" s="8" t="str"/>
    </x:row>
    <x:row r="78">
      <x:c r="A78" s="2" t="str">
        <x:v>LAB-077</x:v>
      </x:c>
      <x:c r="B78" s="2" t="str">
        <x:v>7. Layer 2 Services</x:v>
      </x:c>
      <x:c r="C78" s="2" t="str">
        <x:v>L2VPN &amp; VPLS</x:v>
      </x:c>
      <x:c r="D78" s="2" t="str">
        <x:v>Expert</x:v>
      </x:c>
      <x:c r="E78" s="2" t="str">
        <x:v>L2VPN troubleshooting fault pack</x:v>
      </x:c>
      <x:c r="F78" s="8" t="str">
        <x:v>Repair VC ID, encapsulation, label, signaling, MTU and transport defects.</x:v>
      </x:c>
      <x:c r="G78" s="8" t="str">
        <x:v>Minimum 4–8 routers as needed; add CE/host/traffic-generator nodes for service validation.</x:v>
      </x:c>
      <x:c r="H78" s="2" t="n">
        <x:v>4</x:v>
      </x:c>
      <x:c r="I78" s="2" t="str">
        <x:v>Expert</x:v>
      </x:c>
      <x:c r="J78" s="2" t="str">
        <x:v>Core</x:v>
      </x:c>
      <x:c r="K78" s="2" t="str">
        <x:v>LAB-076</x:v>
      </x:c>
      <x:c r="L78" s="2" t="str">
        <x:v>☐ Not Started</x:v>
      </x:c>
      <x:c r="M78" s="2" t="n">
        <x:v>0</x:v>
      </x:c>
      <x:c r="N78" s="2" t="str"/>
      <x:c r="O78" s="3"/>
      <x:c r="P78" s="8" t="str">
        <x:v>Save configs, key show commands, packet/traffic proof, fault notes, and a short root-cause summary.</x:v>
      </x:c>
      <x:c r="Q78" s="8" t="str"/>
    </x:row>
    <x:row r="79">
      <x:c r="A79" s="2" t="str">
        <x:v>LAB-078</x:v>
      </x:c>
      <x:c r="B79" s="2" t="str">
        <x:v>8. EVPN</x:v>
      </x:c>
      <x:c r="C79" s="2" t="str">
        <x:v>EVPN</x:v>
      </x:c>
      <x:c r="D79" s="2" t="str">
        <x:v>Modern SP</x:v>
      </x:c>
      <x:c r="E79" s="2" t="str">
        <x:v>EVPN route types inspection</x:v>
      </x:c>
      <x:c r="F79" s="8" t="str">
        <x:v>Generate and interpret route types 1 through 5 and their extended communities.</x:v>
      </x:c>
      <x:c r="G79" s="8" t="str">
        <x:v>Minimum 4–8 routers as needed; add CE/host/traffic-generator nodes for service validation.</x:v>
      </x:c>
      <x:c r="H79" s="2" t="n">
        <x:v>4</x:v>
      </x:c>
      <x:c r="I79" s="2" t="str">
        <x:v>Advanced</x:v>
      </x:c>
      <x:c r="J79" s="2" t="str">
        <x:v>Beyond Exam</x:v>
      </x:c>
      <x:c r="K79" s="2" t="str"/>
      <x:c r="L79" s="2" t="str">
        <x:v>☐ Not Started</x:v>
      </x:c>
      <x:c r="M79" s="2" t="n">
        <x:v>0</x:v>
      </x:c>
      <x:c r="N79" s="2" t="str"/>
      <x:c r="O79" s="3"/>
      <x:c r="P79" s="8" t="str">
        <x:v>Save configs, key show commands, packet/traffic proof, fault notes, and a short root-cause summary.</x:v>
      </x:c>
      <x:c r="Q79" s="8" t="str"/>
    </x:row>
    <x:row r="80">
      <x:c r="A80" s="2" t="str">
        <x:v>LAB-079</x:v>
      </x:c>
      <x:c r="B80" s="2" t="str">
        <x:v>8. EVPN</x:v>
      </x:c>
      <x:c r="C80" s="2" t="str">
        <x:v>EVPN</x:v>
      </x:c>
      <x:c r="D80" s="2" t="str">
        <x:v>Modern SP</x:v>
      </x:c>
      <x:c r="E80" s="2" t="str">
        <x:v>EVPN-VPWS</x:v>
      </x:c>
      <x:c r="F80" s="8" t="str">
        <x:v>Build point-to-point EVPN service and validate per-EVI/per-AC label behavior.</x:v>
      </x:c>
      <x:c r="G80" s="8" t="str">
        <x:v>Minimum 4–8 routers as needed; add CE/host/traffic-generator nodes for service validation.</x:v>
      </x:c>
      <x:c r="H80" s="2" t="n">
        <x:v>4</x:v>
      </x:c>
      <x:c r="I80" s="2" t="str">
        <x:v>Advanced</x:v>
      </x:c>
      <x:c r="J80" s="2" t="str">
        <x:v>Beyond Exam</x:v>
      </x:c>
      <x:c r="K80" s="2" t="str">
        <x:v>LAB-078</x:v>
      </x:c>
      <x:c r="L80" s="2" t="str">
        <x:v>☐ Not Started</x:v>
      </x:c>
      <x:c r="M80" s="2" t="n">
        <x:v>0</x:v>
      </x:c>
      <x:c r="N80" s="2" t="str"/>
      <x:c r="O80" s="3"/>
      <x:c r="P80" s="8" t="str">
        <x:v>Save configs, key show commands, packet/traffic proof, fault notes, and a short root-cause summary.</x:v>
      </x:c>
      <x:c r="Q80" s="8" t="str"/>
    </x:row>
    <x:row r="81">
      <x:c r="A81" s="2" t="str">
        <x:v>LAB-080</x:v>
      </x:c>
      <x:c r="B81" s="2" t="str">
        <x:v>8. EVPN</x:v>
      </x:c>
      <x:c r="C81" s="2" t="str">
        <x:v>EVPN</x:v>
      </x:c>
      <x:c r="D81" s="2" t="str">
        <x:v>Modern SP</x:v>
      </x:c>
      <x:c r="E81" s="2" t="str">
        <x:v>EVPN MPLS VLAN-based service</x:v>
      </x:c>
      <x:c r="F81" s="8" t="str">
        <x:v>Build VLAN-based EVPN and trace MAC/IP advertisement and forwarding.</x:v>
      </x:c>
      <x:c r="G81" s="8" t="str">
        <x:v>Minimum 4–8 routers as needed; add CE/host/traffic-generator nodes for service validation.</x:v>
      </x:c>
      <x:c r="H81" s="2" t="n">
        <x:v>4</x:v>
      </x:c>
      <x:c r="I81" s="2" t="str">
        <x:v>Advanced</x:v>
      </x:c>
      <x:c r="J81" s="2" t="str">
        <x:v>Beyond Exam</x:v>
      </x:c>
      <x:c r="K81" s="2" t="str">
        <x:v>LAB-079</x:v>
      </x:c>
      <x:c r="L81" s="2" t="str">
        <x:v>☐ Not Started</x:v>
      </x:c>
      <x:c r="M81" s="2" t="n">
        <x:v>0</x:v>
      </x:c>
      <x:c r="N81" s="2" t="str"/>
      <x:c r="O81" s="3"/>
      <x:c r="P81" s="8" t="str">
        <x:v>Save configs, key show commands, packet/traffic proof, fault notes, and a short root-cause summary.</x:v>
      </x:c>
      <x:c r="Q81" s="8" t="str"/>
    </x:row>
    <x:row r="82">
      <x:c r="A82" s="2" t="str">
        <x:v>LAB-081</x:v>
      </x:c>
      <x:c r="B82" s="2" t="str">
        <x:v>8. EVPN</x:v>
      </x:c>
      <x:c r="C82" s="2" t="str">
        <x:v>EVPN</x:v>
      </x:c>
      <x:c r="D82" s="2" t="str">
        <x:v>Modern SP</x:v>
      </x:c>
      <x:c r="E82" s="2" t="str">
        <x:v>EVPN MPLS VLAN-aware bundle</x:v>
      </x:c>
      <x:c r="F82" s="8" t="str">
        <x:v>Map multiple bridge domains into one EVI and verify label/service isolation.</x:v>
      </x:c>
      <x:c r="G82" s="8" t="str">
        <x:v>Minimum 4–8 routers as needed; add CE/host/traffic-generator nodes for service validation.</x:v>
      </x:c>
      <x:c r="H82" s="2" t="n">
        <x:v>4</x:v>
      </x:c>
      <x:c r="I82" s="2" t="str">
        <x:v>Advanced</x:v>
      </x:c>
      <x:c r="J82" s="2" t="str">
        <x:v>Beyond Exam</x:v>
      </x:c>
      <x:c r="K82" s="2" t="str">
        <x:v>LAB-080</x:v>
      </x:c>
      <x:c r="L82" s="2" t="str">
        <x:v>☐ Not Started</x:v>
      </x:c>
      <x:c r="M82" s="2" t="n">
        <x:v>0</x:v>
      </x:c>
      <x:c r="N82" s="2" t="str"/>
      <x:c r="O82" s="3"/>
      <x:c r="P82" s="8" t="str">
        <x:v>Save configs, key show commands, packet/traffic proof, fault notes, and a short root-cause summary.</x:v>
      </x:c>
      <x:c r="Q82" s="8" t="str"/>
    </x:row>
    <x:row r="83">
      <x:c r="A83" s="2" t="str">
        <x:v>LAB-082</x:v>
      </x:c>
      <x:c r="B83" s="2" t="str">
        <x:v>8. EVPN</x:v>
      </x:c>
      <x:c r="C83" s="2" t="str">
        <x:v>EVPN</x:v>
      </x:c>
      <x:c r="D83" s="2" t="str">
        <x:v>Modern SP</x:v>
      </x:c>
      <x:c r="E83" s="2" t="str">
        <x:v>EVPN all-active multihoming</x:v>
      </x:c>
      <x:c r="F83" s="8" t="str">
        <x:v>Build ESI-LAG, DF election, aliasing and mass withdrawal.</x:v>
      </x:c>
      <x:c r="G83" s="8" t="str">
        <x:v>Minimum 4–8 routers as needed; add CE/host/traffic-generator nodes for service validation.</x:v>
      </x:c>
      <x:c r="H83" s="2" t="n">
        <x:v>4</x:v>
      </x:c>
      <x:c r="I83" s="2" t="str">
        <x:v>Advanced</x:v>
      </x:c>
      <x:c r="J83" s="2" t="str">
        <x:v>Beyond Exam</x:v>
      </x:c>
      <x:c r="K83" s="2" t="str">
        <x:v>LAB-081</x:v>
      </x:c>
      <x:c r="L83" s="2" t="str">
        <x:v>☐ Not Started</x:v>
      </x:c>
      <x:c r="M83" s="2" t="n">
        <x:v>0</x:v>
      </x:c>
      <x:c r="N83" s="2" t="str"/>
      <x:c r="O83" s="3"/>
      <x:c r="P83" s="8" t="str">
        <x:v>Save configs, key show commands, packet/traffic proof, fault notes, and a short root-cause summary.</x:v>
      </x:c>
      <x:c r="Q83" s="8" t="str"/>
    </x:row>
    <x:row r="84">
      <x:c r="A84" s="2" t="str">
        <x:v>LAB-083</x:v>
      </x:c>
      <x:c r="B84" s="2" t="str">
        <x:v>8. EVPN</x:v>
      </x:c>
      <x:c r="C84" s="2" t="str">
        <x:v>EVPN</x:v>
      </x:c>
      <x:c r="D84" s="2" t="str">
        <x:v>Modern SP</x:v>
      </x:c>
      <x:c r="E84" s="2" t="str">
        <x:v>EVPN single-active multihoming</x:v>
      </x:c>
      <x:c r="F84" s="8" t="str">
        <x:v>Prove blocked/active attachment behavior and failure recovery.</x:v>
      </x:c>
      <x:c r="G84" s="8" t="str">
        <x:v>Minimum 4–8 routers as needed; add CE/host/traffic-generator nodes for service validation.</x:v>
      </x:c>
      <x:c r="H84" s="2" t="n">
        <x:v>4</x:v>
      </x:c>
      <x:c r="I84" s="2" t="str">
        <x:v>Advanced</x:v>
      </x:c>
      <x:c r="J84" s="2" t="str">
        <x:v>Beyond Exam</x:v>
      </x:c>
      <x:c r="K84" s="2" t="str">
        <x:v>LAB-082</x:v>
      </x:c>
      <x:c r="L84" s="2" t="str">
        <x:v>☐ Not Started</x:v>
      </x:c>
      <x:c r="M84" s="2" t="n">
        <x:v>0</x:v>
      </x:c>
      <x:c r="N84" s="2" t="str"/>
      <x:c r="O84" s="3"/>
      <x:c r="P84" s="8" t="str">
        <x:v>Save configs, key show commands, packet/traffic proof, fault notes, and a short root-cause summary.</x:v>
      </x:c>
      <x:c r="Q84" s="8" t="str"/>
    </x:row>
    <x:row r="85">
      <x:c r="A85" s="2" t="str">
        <x:v>LAB-084</x:v>
      </x:c>
      <x:c r="B85" s="2" t="str">
        <x:v>8. EVPN</x:v>
      </x:c>
      <x:c r="C85" s="2" t="str">
        <x:v>EVPN</x:v>
      </x:c>
      <x:c r="D85" s="2" t="str">
        <x:v>Modern SP</x:v>
      </x:c>
      <x:c r="E85" s="2" t="str">
        <x:v>EVPN IRB and type-5 routes</x:v>
      </x:c>
      <x:c r="F85" s="8" t="str">
        <x:v>Build symmetric routing and exchange IP prefixes between EVPN tenants.</x:v>
      </x:c>
      <x:c r="G85" s="8" t="str">
        <x:v>Minimum 4–8 routers as needed; add CE/host/traffic-generator nodes for service validation.</x:v>
      </x:c>
      <x:c r="H85" s="2" t="n">
        <x:v>4</x:v>
      </x:c>
      <x:c r="I85" s="2" t="str">
        <x:v>Advanced</x:v>
      </x:c>
      <x:c r="J85" s="2" t="str">
        <x:v>Beyond Exam</x:v>
      </x:c>
      <x:c r="K85" s="2" t="str">
        <x:v>LAB-083</x:v>
      </x:c>
      <x:c r="L85" s="2" t="str">
        <x:v>☐ Not Started</x:v>
      </x:c>
      <x:c r="M85" s="2" t="n">
        <x:v>0</x:v>
      </x:c>
      <x:c r="N85" s="2" t="str"/>
      <x:c r="O85" s="3"/>
      <x:c r="P85" s="8" t="str">
        <x:v>Save configs, key show commands, packet/traffic proof, fault notes, and a short root-cause summary.</x:v>
      </x:c>
      <x:c r="Q85" s="8" t="str"/>
    </x:row>
    <x:row r="86">
      <x:c r="A86" s="2" t="str">
        <x:v>LAB-085</x:v>
      </x:c>
      <x:c r="B86" s="2" t="str">
        <x:v>8. EVPN</x:v>
      </x:c>
      <x:c r="C86" s="2" t="str">
        <x:v>EVPN</x:v>
      </x:c>
      <x:c r="D86" s="2" t="str">
        <x:v>Modern SP</x:v>
      </x:c>
      <x:c r="E86" s="2" t="str">
        <x:v>EVPN MAC mobility</x:v>
      </x:c>
      <x:c r="F86" s="8" t="str">
        <x:v>Move a host, observe sequence changes and distinguish legitimate moves from loops.</x:v>
      </x:c>
      <x:c r="G86" s="8" t="str">
        <x:v>Minimum 4–8 routers as needed; add CE/host/traffic-generator nodes for service validation.</x:v>
      </x:c>
      <x:c r="H86" s="2" t="n">
        <x:v>4</x:v>
      </x:c>
      <x:c r="I86" s="2" t="str">
        <x:v>Advanced</x:v>
      </x:c>
      <x:c r="J86" s="2" t="str">
        <x:v>Beyond Exam</x:v>
      </x:c>
      <x:c r="K86" s="2" t="str">
        <x:v>LAB-084</x:v>
      </x:c>
      <x:c r="L86" s="2" t="str">
        <x:v>☐ Not Started</x:v>
      </x:c>
      <x:c r="M86" s="2" t="n">
        <x:v>0</x:v>
      </x:c>
      <x:c r="N86" s="2" t="str"/>
      <x:c r="O86" s="3"/>
      <x:c r="P86" s="8" t="str">
        <x:v>Save configs, key show commands, packet/traffic proof, fault notes, and a short root-cause summary.</x:v>
      </x:c>
      <x:c r="Q86" s="8" t="str"/>
    </x:row>
    <x:row r="87">
      <x:c r="A87" s="2" t="str">
        <x:v>LAB-086</x:v>
      </x:c>
      <x:c r="B87" s="2" t="str">
        <x:v>8. EVPN</x:v>
      </x:c>
      <x:c r="C87" s="2" t="str">
        <x:v>EVPN</x:v>
      </x:c>
      <x:c r="D87" s="2" t="str">
        <x:v>Modern SP</x:v>
      </x:c>
      <x:c r="E87" s="2" t="str">
        <x:v>EVPN duplicate MAC detection</x:v>
      </x:c>
      <x:c r="F87" s="8" t="str">
        <x:v>Trigger, observe and recover from duplicate MAC protection.</x:v>
      </x:c>
      <x:c r="G87" s="8" t="str">
        <x:v>Minimum 4–8 routers as needed; add CE/host/traffic-generator nodes for service validation.</x:v>
      </x:c>
      <x:c r="H87" s="2" t="n">
        <x:v>4</x:v>
      </x:c>
      <x:c r="I87" s="2" t="str">
        <x:v>Advanced</x:v>
      </x:c>
      <x:c r="J87" s="2" t="str">
        <x:v>Beyond Exam</x:v>
      </x:c>
      <x:c r="K87" s="2" t="str">
        <x:v>LAB-085</x:v>
      </x:c>
      <x:c r="L87" s="2" t="str">
        <x:v>☐ Not Started</x:v>
      </x:c>
      <x:c r="M87" s="2" t="n">
        <x:v>0</x:v>
      </x:c>
      <x:c r="N87" s="2" t="str"/>
      <x:c r="O87" s="3"/>
      <x:c r="P87" s="8" t="str">
        <x:v>Save configs, key show commands, packet/traffic proof, fault notes, and a short root-cause summary.</x:v>
      </x:c>
      <x:c r="Q87" s="8" t="str"/>
    </x:row>
    <x:row r="88">
      <x:c r="A88" s="2" t="str">
        <x:v>LAB-087</x:v>
      </x:c>
      <x:c r="B88" s="2" t="str">
        <x:v>8. EVPN</x:v>
      </x:c>
      <x:c r="C88" s="2" t="str">
        <x:v>EVPN</x:v>
      </x:c>
      <x:c r="D88" s="2" t="str">
        <x:v>Modern SP</x:v>
      </x:c>
      <x:c r="E88" s="2" t="str">
        <x:v>EVPN troubleshooting fault pack</x:v>
      </x:c>
      <x:c r="F88" s="8" t="str">
        <x:v>Repair RT, ESI, DF, VLAN, label, MAC and underlay-resolution failures.</x:v>
      </x:c>
      <x:c r="G88" s="8" t="str">
        <x:v>Minimum 4–8 routers as needed; add CE/host/traffic-generator nodes for service validation.</x:v>
      </x:c>
      <x:c r="H88" s="2" t="n">
        <x:v>4</x:v>
      </x:c>
      <x:c r="I88" s="2" t="str">
        <x:v>Advanced</x:v>
      </x:c>
      <x:c r="J88" s="2" t="str">
        <x:v>Beyond Exam</x:v>
      </x:c>
      <x:c r="K88" s="2" t="str">
        <x:v>LAB-086</x:v>
      </x:c>
      <x:c r="L88" s="2" t="str">
        <x:v>☐ Not Started</x:v>
      </x:c>
      <x:c r="M88" s="2" t="n">
        <x:v>0</x:v>
      </x:c>
      <x:c r="N88" s="2" t="str"/>
      <x:c r="O88" s="3"/>
      <x:c r="P88" s="8" t="str">
        <x:v>Save configs, key show commands, packet/traffic proof, fault notes, and a short root-cause summary.</x:v>
      </x:c>
      <x:c r="Q88" s="8" t="str"/>
    </x:row>
    <x:row r="89">
      <x:c r="A89" s="2" t="str">
        <x:v>LAB-088</x:v>
      </x:c>
      <x:c r="B89" s="2" t="str">
        <x:v>9. Multicast</x:v>
      </x:c>
      <x:c r="C89" s="2" t="str">
        <x:v>Multicast &amp; MVPN</x:v>
      </x:c>
      <x:c r="D89" s="2" t="str">
        <x:v>Expert</x:v>
      </x:c>
      <x:c r="E89" s="2" t="str">
        <x:v>PIM sparse mode baseline</x:v>
      </x:c>
      <x:c r="F89" s="8" t="str">
        <x:v>Build PIM-SM, IGMP receivers and verify RPT-to-SPT transition.</x:v>
      </x:c>
      <x:c r="G89" s="8" t="str">
        <x:v>Minimum 4–8 routers as needed; add CE/host/traffic-generator nodes for service validation.</x:v>
      </x:c>
      <x:c r="H89" s="2" t="n">
        <x:v>4</x:v>
      </x:c>
      <x:c r="I89" s="2" t="str">
        <x:v>Expert</x:v>
      </x:c>
      <x:c r="J89" s="2" t="str">
        <x:v>Core</x:v>
      </x:c>
      <x:c r="K89" s="2" t="str"/>
      <x:c r="L89" s="2" t="str">
        <x:v>☐ Not Started</x:v>
      </x:c>
      <x:c r="M89" s="2" t="n">
        <x:v>0</x:v>
      </x:c>
      <x:c r="N89" s="2" t="str"/>
      <x:c r="O89" s="3"/>
      <x:c r="P89" s="8" t="str">
        <x:v>Save configs, key show commands, packet/traffic proof, fault notes, and a short root-cause summary.</x:v>
      </x:c>
      <x:c r="Q89" s="8" t="str"/>
    </x:row>
    <x:row r="90">
      <x:c r="A90" s="2" t="str">
        <x:v>LAB-089</x:v>
      </x:c>
      <x:c r="B90" s="2" t="str">
        <x:v>9. Multicast</x:v>
      </x:c>
      <x:c r="C90" s="2" t="str">
        <x:v>Multicast &amp; MVPN</x:v>
      </x:c>
      <x:c r="D90" s="2" t="str">
        <x:v>Expert</x:v>
      </x:c>
      <x:c r="E90" s="2" t="str">
        <x:v>Static RP and Anycast-RP</x:v>
      </x:c>
      <x:c r="F90" s="8" t="str">
        <x:v>Deploy resilient RP service and validate register/MSDP behavior where applicable.</x:v>
      </x:c>
      <x:c r="G90" s="8" t="str">
        <x:v>Minimum 4–8 routers as needed; add CE/host/traffic-generator nodes for service validation.</x:v>
      </x:c>
      <x:c r="H90" s="2" t="n">
        <x:v>4</x:v>
      </x:c>
      <x:c r="I90" s="2" t="str">
        <x:v>Expert</x:v>
      </x:c>
      <x:c r="J90" s="2" t="str">
        <x:v>Core</x:v>
      </x:c>
      <x:c r="K90" s="2" t="str">
        <x:v>LAB-088</x:v>
      </x:c>
      <x:c r="L90" s="2" t="str">
        <x:v>☐ Not Started</x:v>
      </x:c>
      <x:c r="M90" s="2" t="n">
        <x:v>0</x:v>
      </x:c>
      <x:c r="N90" s="2" t="str"/>
      <x:c r="O90" s="3"/>
      <x:c r="P90" s="8" t="str">
        <x:v>Save configs, key show commands, packet/traffic proof, fault notes, and a short root-cause summary.</x:v>
      </x:c>
      <x:c r="Q90" s="8" t="str"/>
    </x:row>
    <x:row r="91">
      <x:c r="A91" s="2" t="str">
        <x:v>LAB-090</x:v>
      </x:c>
      <x:c r="B91" s="2" t="str">
        <x:v>9. Multicast</x:v>
      </x:c>
      <x:c r="C91" s="2" t="str">
        <x:v>Multicast &amp; MVPN</x:v>
      </x:c>
      <x:c r="D91" s="2" t="str">
        <x:v>Expert</x:v>
      </x:c>
      <x:c r="E91" s="2" t="str">
        <x:v>BSR dynamic RP</x:v>
      </x:c>
      <x:c r="F91" s="8" t="str">
        <x:v>Build candidate BSR/RP election and troubleshoot scope and hash behavior.</x:v>
      </x:c>
      <x:c r="G91" s="8" t="str">
        <x:v>Minimum 4–8 routers as needed; add CE/host/traffic-generator nodes for service validation.</x:v>
      </x:c>
      <x:c r="H91" s="2" t="n">
        <x:v>4</x:v>
      </x:c>
      <x:c r="I91" s="2" t="str">
        <x:v>Expert</x:v>
      </x:c>
      <x:c r="J91" s="2" t="str">
        <x:v>Core</x:v>
      </x:c>
      <x:c r="K91" s="2" t="str">
        <x:v>LAB-089</x:v>
      </x:c>
      <x:c r="L91" s="2" t="str">
        <x:v>☐ Not Started</x:v>
      </x:c>
      <x:c r="M91" s="2" t="n">
        <x:v>0</x:v>
      </x:c>
      <x:c r="N91" s="2" t="str"/>
      <x:c r="O91" s="3"/>
      <x:c r="P91" s="8" t="str">
        <x:v>Save configs, key show commands, packet/traffic proof, fault notes, and a short root-cause summary.</x:v>
      </x:c>
      <x:c r="Q91" s="8" t="str"/>
    </x:row>
    <x:row r="92">
      <x:c r="A92" s="2" t="str">
        <x:v>LAB-091</x:v>
      </x:c>
      <x:c r="B92" s="2" t="str">
        <x:v>9. Multicast</x:v>
      </x:c>
      <x:c r="C92" s="2" t="str">
        <x:v>Multicast &amp; MVPN</x:v>
      </x:c>
      <x:c r="D92" s="2" t="str">
        <x:v>Expert</x:v>
      </x:c>
      <x:c r="E92" s="2" t="str">
        <x:v>SSM</x:v>
      </x:c>
      <x:c r="F92" s="8" t="str">
        <x:v>Deploy source-specific multicast and validate IGMPv3 include-mode joins.</x:v>
      </x:c>
      <x:c r="G92" s="8" t="str">
        <x:v>Minimum 4–8 routers as needed; add CE/host/traffic-generator nodes for service validation.</x:v>
      </x:c>
      <x:c r="H92" s="2" t="n">
        <x:v>4</x:v>
      </x:c>
      <x:c r="I92" s="2" t="str">
        <x:v>Expert</x:v>
      </x:c>
      <x:c r="J92" s="2" t="str">
        <x:v>Core</x:v>
      </x:c>
      <x:c r="K92" s="2" t="str">
        <x:v>LAB-090</x:v>
      </x:c>
      <x:c r="L92" s="2" t="str">
        <x:v>☐ Not Started</x:v>
      </x:c>
      <x:c r="M92" s="2" t="n">
        <x:v>0</x:v>
      </x:c>
      <x:c r="N92" s="2" t="str"/>
      <x:c r="O92" s="3"/>
      <x:c r="P92" s="8" t="str">
        <x:v>Save configs, key show commands, packet/traffic proof, fault notes, and a short root-cause summary.</x:v>
      </x:c>
      <x:c r="Q92" s="8" t="str"/>
    </x:row>
    <x:row r="93">
      <x:c r="A93" s="2" t="str">
        <x:v>LAB-092</x:v>
      </x:c>
      <x:c r="B93" s="2" t="str">
        <x:v>9. Multicast</x:v>
      </x:c>
      <x:c r="C93" s="2" t="str">
        <x:v>Multicast &amp; MVPN</x:v>
      </x:c>
      <x:c r="D93" s="2" t="str">
        <x:v>Expert</x:v>
      </x:c>
      <x:c r="E93" s="2" t="str">
        <x:v>Multicast policy and boundaries</x:v>
      </x:c>
      <x:c r="F93" s="8" t="str">
        <x:v>Control groups, sources and interfaces with explicit policy.</x:v>
      </x:c>
      <x:c r="G93" s="8" t="str">
        <x:v>Minimum 4–8 routers as needed; add CE/host/traffic-generator nodes for service validation.</x:v>
      </x:c>
      <x:c r="H93" s="2" t="n">
        <x:v>4</x:v>
      </x:c>
      <x:c r="I93" s="2" t="str">
        <x:v>Expert</x:v>
      </x:c>
      <x:c r="J93" s="2" t="str">
        <x:v>Core</x:v>
      </x:c>
      <x:c r="K93" s="2" t="str">
        <x:v>LAB-091</x:v>
      </x:c>
      <x:c r="L93" s="2" t="str">
        <x:v>☐ Not Started</x:v>
      </x:c>
      <x:c r="M93" s="2" t="n">
        <x:v>0</x:v>
      </x:c>
      <x:c r="N93" s="2" t="str"/>
      <x:c r="O93" s="3"/>
      <x:c r="P93" s="8" t="str">
        <x:v>Save configs, key show commands, packet/traffic proof, fault notes, and a short root-cause summary.</x:v>
      </x:c>
      <x:c r="Q93" s="8" t="str"/>
    </x:row>
    <x:row r="94">
      <x:c r="A94" s="2" t="str">
        <x:v>LAB-093</x:v>
      </x:c>
      <x:c r="B94" s="2" t="str">
        <x:v>9. Multicast</x:v>
      </x:c>
      <x:c r="C94" s="2" t="str">
        <x:v>Multicast &amp; MVPN</x:v>
      </x:c>
      <x:c r="D94" s="2" t="str">
        <x:v>Expert</x:v>
      </x:c>
      <x:c r="E94" s="2" t="str">
        <x:v>Multicast troubleshooting fault pack</x:v>
      </x:c>
      <x:c r="F94" s="8" t="str">
        <x:v>Repair RPF, RP, PIM adjacency, IGMP, TTL and policy defects.</x:v>
      </x:c>
      <x:c r="G94" s="8" t="str">
        <x:v>Minimum 4–8 routers as needed; add CE/host/traffic-generator nodes for service validation.</x:v>
      </x:c>
      <x:c r="H94" s="2" t="n">
        <x:v>4</x:v>
      </x:c>
      <x:c r="I94" s="2" t="str">
        <x:v>Expert</x:v>
      </x:c>
      <x:c r="J94" s="2" t="str">
        <x:v>Core</x:v>
      </x:c>
      <x:c r="K94" s="2" t="str">
        <x:v>LAB-092</x:v>
      </x:c>
      <x:c r="L94" s="2" t="str">
        <x:v>☐ Not Started</x:v>
      </x:c>
      <x:c r="M94" s="2" t="n">
        <x:v>0</x:v>
      </x:c>
      <x:c r="N94" s="2" t="str"/>
      <x:c r="O94" s="3"/>
      <x:c r="P94" s="8" t="str">
        <x:v>Save configs, key show commands, packet/traffic proof, fault notes, and a short root-cause summary.</x:v>
      </x:c>
      <x:c r="Q94" s="8" t="str"/>
    </x:row>
    <x:row r="95">
      <x:c r="A95" s="2" t="str">
        <x:v>LAB-094</x:v>
      </x:c>
      <x:c r="B95" s="2" t="str">
        <x:v>9. Multicast</x:v>
      </x:c>
      <x:c r="C95" s="2" t="str">
        <x:v>Multicast &amp; MVPN</x:v>
      </x:c>
      <x:c r="D95" s="2" t="str">
        <x:v>Expert</x:v>
      </x:c>
      <x:c r="E95" s="2" t="str">
        <x:v>NG-MVPN baseline</x:v>
      </x:c>
      <x:c r="F95" s="8" t="str">
        <x:v>Build an MVPN and identify auto-discovery, C-multicast and PMSI routes.</x:v>
      </x:c>
      <x:c r="G95" s="8" t="str">
        <x:v>Minimum 4–8 routers as needed; add CE/host/traffic-generator nodes for service validation.</x:v>
      </x:c>
      <x:c r="H95" s="2" t="n">
        <x:v>4</x:v>
      </x:c>
      <x:c r="I95" s="2" t="str">
        <x:v>Expert</x:v>
      </x:c>
      <x:c r="J95" s="2" t="str">
        <x:v>Core</x:v>
      </x:c>
      <x:c r="K95" s="2" t="str">
        <x:v>LAB-093</x:v>
      </x:c>
      <x:c r="L95" s="2" t="str">
        <x:v>☐ Not Started</x:v>
      </x:c>
      <x:c r="M95" s="2" t="n">
        <x:v>0</x:v>
      </x:c>
      <x:c r="N95" s="2" t="str"/>
      <x:c r="O95" s="3"/>
      <x:c r="P95" s="8" t="str">
        <x:v>Save configs, key show commands, packet/traffic proof, fault notes, and a short root-cause summary.</x:v>
      </x:c>
      <x:c r="Q95" s="8" t="str"/>
    </x:row>
    <x:row r="96">
      <x:c r="A96" s="2" t="str">
        <x:v>LAB-095</x:v>
      </x:c>
      <x:c r="B96" s="2" t="str">
        <x:v>9. Multicast</x:v>
      </x:c>
      <x:c r="C96" s="2" t="str">
        <x:v>Multicast &amp; MVPN</x:v>
      </x:c>
      <x:c r="D96" s="2" t="str">
        <x:v>Expert</x:v>
      </x:c>
      <x:c r="E96" s="2" t="str">
        <x:v>MVPN selective trees</x:v>
      </x:c>
      <x:c r="F96" s="8" t="str">
        <x:v>Trigger S-PMSI behavior and assess bandwidth versus state tradeoffs.</x:v>
      </x:c>
      <x:c r="G96" s="8" t="str">
        <x:v>Minimum 4–8 routers as needed; add CE/host/traffic-generator nodes for service validation.</x:v>
      </x:c>
      <x:c r="H96" s="2" t="n">
        <x:v>4</x:v>
      </x:c>
      <x:c r="I96" s="2" t="str">
        <x:v>Expert</x:v>
      </x:c>
      <x:c r="J96" s="2" t="str">
        <x:v>Core</x:v>
      </x:c>
      <x:c r="K96" s="2" t="str">
        <x:v>LAB-094</x:v>
      </x:c>
      <x:c r="L96" s="2" t="str">
        <x:v>☐ Not Started</x:v>
      </x:c>
      <x:c r="M96" s="2" t="n">
        <x:v>0</x:v>
      </x:c>
      <x:c r="N96" s="2" t="str"/>
      <x:c r="O96" s="3"/>
      <x:c r="P96" s="8" t="str">
        <x:v>Save configs, key show commands, packet/traffic proof, fault notes, and a short root-cause summary.</x:v>
      </x:c>
      <x:c r="Q96" s="8" t="str"/>
    </x:row>
    <x:row r="97">
      <x:c r="A97" s="2" t="str">
        <x:v>LAB-096</x:v>
      </x:c>
      <x:c r="B97" s="2" t="str">
        <x:v>9. Multicast</x:v>
      </x:c>
      <x:c r="C97" s="2" t="str">
        <x:v>Multicast &amp; MVPN</x:v>
      </x:c>
      <x:c r="D97" s="2" t="str">
        <x:v>Expert</x:v>
      </x:c>
      <x:c r="E97" s="2" t="str">
        <x:v>MVPN inter-AS concept lab</x:v>
      </x:c>
      <x:c r="F97" s="8" t="str">
        <x:v>Validate multicast VPN signaling across an AS boundary where image support permits.</x:v>
      </x:c>
      <x:c r="G97" s="8" t="str">
        <x:v>Minimum 4–8 routers as needed; add CE/host/traffic-generator nodes for service validation.</x:v>
      </x:c>
      <x:c r="H97" s="2" t="n">
        <x:v>4</x:v>
      </x:c>
      <x:c r="I97" s="2" t="str">
        <x:v>Expert</x:v>
      </x:c>
      <x:c r="J97" s="2" t="str">
        <x:v>Core</x:v>
      </x:c>
      <x:c r="K97" s="2" t="str">
        <x:v>LAB-095</x:v>
      </x:c>
      <x:c r="L97" s="2" t="str">
        <x:v>☐ Not Started</x:v>
      </x:c>
      <x:c r="M97" s="2" t="n">
        <x:v>0</x:v>
      </x:c>
      <x:c r="N97" s="2" t="str"/>
      <x:c r="O97" s="3"/>
      <x:c r="P97" s="8" t="str">
        <x:v>Save configs, key show commands, packet/traffic proof, fault notes, and a short root-cause summary.</x:v>
      </x:c>
      <x:c r="Q97" s="8" t="str"/>
    </x:row>
    <x:row r="98">
      <x:c r="A98" s="2" t="str">
        <x:v>LAB-097</x:v>
      </x:c>
      <x:c r="B98" s="2" t="str">
        <x:v>10. CoS</x:v>
      </x:c>
      <x:c r="C98" s="2" t="str">
        <x:v>Class of Service</x:v>
      </x:c>
      <x:c r="D98" s="2" t="str">
        <x:v>Expert</x:v>
      </x:c>
      <x:c r="E98" s="2" t="str">
        <x:v>CoS classification baseline</x:v>
      </x:c>
      <x:c r="F98" s="8" t="str">
        <x:v>Classify traffic using DSCP/MPLS EXP and verify forwarding-class counters.</x:v>
      </x:c>
      <x:c r="G98" s="8" t="str">
        <x:v>Minimum 4–8 routers as needed; add CE/host/traffic-generator nodes for service validation.</x:v>
      </x:c>
      <x:c r="H98" s="2" t="n">
        <x:v>4</x:v>
      </x:c>
      <x:c r="I98" s="2" t="str">
        <x:v>Expert</x:v>
      </x:c>
      <x:c r="J98" s="2" t="str">
        <x:v>Core</x:v>
      </x:c>
      <x:c r="K98" s="2" t="str"/>
      <x:c r="L98" s="2" t="str">
        <x:v>☐ Not Started</x:v>
      </x:c>
      <x:c r="M98" s="2" t="n">
        <x:v>0</x:v>
      </x:c>
      <x:c r="N98" s="2" t="str"/>
      <x:c r="O98" s="3"/>
      <x:c r="P98" s="8" t="str">
        <x:v>Save configs, key show commands, packet/traffic proof, fault notes, and a short root-cause summary.</x:v>
      </x:c>
      <x:c r="Q98" s="8" t="str"/>
    </x:row>
    <x:row r="99">
      <x:c r="A99" s="2" t="str">
        <x:v>LAB-098</x:v>
      </x:c>
      <x:c r="B99" s="2" t="str">
        <x:v>10. CoS</x:v>
      </x:c>
      <x:c r="C99" s="2" t="str">
        <x:v>Class of Service</x:v>
      </x:c>
      <x:c r="D99" s="2" t="str">
        <x:v>Expert</x:v>
      </x:c>
      <x:c r="E99" s="2" t="str">
        <x:v>Multifield classification</x:v>
      </x:c>
      <x:c r="F99" s="8" t="str">
        <x:v>Match header fields and apply policers safely.</x:v>
      </x:c>
      <x:c r="G99" s="8" t="str">
        <x:v>Minimum 4–8 routers as needed; add CE/host/traffic-generator nodes for service validation.</x:v>
      </x:c>
      <x:c r="H99" s="2" t="n">
        <x:v>4</x:v>
      </x:c>
      <x:c r="I99" s="2" t="str">
        <x:v>Expert</x:v>
      </x:c>
      <x:c r="J99" s="2" t="str">
        <x:v>Core</x:v>
      </x:c>
      <x:c r="K99" s="2" t="str">
        <x:v>LAB-097</x:v>
      </x:c>
      <x:c r="L99" s="2" t="str">
        <x:v>☐ Not Started</x:v>
      </x:c>
      <x:c r="M99" s="2" t="n">
        <x:v>0</x:v>
      </x:c>
      <x:c r="N99" s="2" t="str"/>
      <x:c r="O99" s="3"/>
      <x:c r="P99" s="8" t="str">
        <x:v>Save configs, key show commands, packet/traffic proof, fault notes, and a short root-cause summary.</x:v>
      </x:c>
      <x:c r="Q99" s="8" t="str"/>
    </x:row>
    <x:row r="100">
      <x:c r="A100" s="2" t="str">
        <x:v>LAB-099</x:v>
      </x:c>
      <x:c r="B100" s="2" t="str">
        <x:v>10. CoS</x:v>
      </x:c>
      <x:c r="C100" s="2" t="str">
        <x:v>Class of Service</x:v>
      </x:c>
      <x:c r="D100" s="2" t="str">
        <x:v>Expert</x:v>
      </x:c>
      <x:c r="E100" s="2" t="str">
        <x:v>Rewrite rules</x:v>
      </x:c>
      <x:c r="F100" s="8" t="str">
        <x:v>Preserve or translate DSCP and EXP across IP/MPLS boundaries.</x:v>
      </x:c>
      <x:c r="G100" s="8" t="str">
        <x:v>Minimum 4–8 routers as needed; add CE/host/traffic-generator nodes for service validation.</x:v>
      </x:c>
      <x:c r="H100" s="2" t="n">
        <x:v>4</x:v>
      </x:c>
      <x:c r="I100" s="2" t="str">
        <x:v>Expert</x:v>
      </x:c>
      <x:c r="J100" s="2" t="str">
        <x:v>Core</x:v>
      </x:c>
      <x:c r="K100" s="2" t="str">
        <x:v>LAB-098</x:v>
      </x:c>
      <x:c r="L100" s="2" t="str">
        <x:v>☐ Not Started</x:v>
      </x:c>
      <x:c r="M100" s="2" t="n">
        <x:v>0</x:v>
      </x:c>
      <x:c r="N100" s="2" t="str"/>
      <x:c r="O100" s="3"/>
      <x:c r="P100" s="8" t="str">
        <x:v>Save configs, key show commands, packet/traffic proof, fault notes, and a short root-cause summary.</x:v>
      </x:c>
      <x:c r="Q100" s="8" t="str"/>
    </x:row>
    <x:row r="101">
      <x:c r="A101" s="2" t="str">
        <x:v>LAB-100</x:v>
      </x:c>
      <x:c r="B101" s="2" t="str">
        <x:v>10. CoS</x:v>
      </x:c>
      <x:c r="C101" s="2" t="str">
        <x:v>Class of Service</x:v>
      </x:c>
      <x:c r="D101" s="2" t="str">
        <x:v>Expert</x:v>
      </x:c>
      <x:c r="E101" s="2" t="str">
        <x:v>Schedulers and scheduler maps</x:v>
      </x:c>
      <x:c r="F101" s="8" t="str">
        <x:v>Configure priority, transmit rate, shaping and buffer behavior.</x:v>
      </x:c>
      <x:c r="G101" s="8" t="str">
        <x:v>Minimum 4–8 routers as needed; add CE/host/traffic-generator nodes for service validation.</x:v>
      </x:c>
      <x:c r="H101" s="2" t="n">
        <x:v>4</x:v>
      </x:c>
      <x:c r="I101" s="2" t="str">
        <x:v>Expert</x:v>
      </x:c>
      <x:c r="J101" s="2" t="str">
        <x:v>Core</x:v>
      </x:c>
      <x:c r="K101" s="2" t="str">
        <x:v>LAB-099</x:v>
      </x:c>
      <x:c r="L101" s="2" t="str">
        <x:v>☐ Not Started</x:v>
      </x:c>
      <x:c r="M101" s="2" t="n">
        <x:v>0</x:v>
      </x:c>
      <x:c r="N101" s="2" t="str"/>
      <x:c r="O101" s="3"/>
      <x:c r="P101" s="8" t="str">
        <x:v>Save configs, key show commands, packet/traffic proof, fault notes, and a short root-cause summary.</x:v>
      </x:c>
      <x:c r="Q101" s="8" t="str"/>
    </x:row>
    <x:row r="102">
      <x:c r="A102" s="2" t="str">
        <x:v>LAB-101</x:v>
      </x:c>
      <x:c r="B102" s="2" t="str">
        <x:v>10. CoS</x:v>
      </x:c>
      <x:c r="C102" s="2" t="str">
        <x:v>Class of Service</x:v>
      </x:c>
      <x:c r="D102" s="2" t="str">
        <x:v>Expert</x:v>
      </x:c>
      <x:c r="E102" s="2" t="str">
        <x:v>Hierarchical CoS design</x:v>
      </x:c>
      <x:c r="F102" s="8" t="str">
        <x:v>Model subscriber/service hierarchy where platform support permits.</x:v>
      </x:c>
      <x:c r="G102" s="8" t="str">
        <x:v>Minimum 4–8 routers as needed; add CE/host/traffic-generator nodes for service validation.</x:v>
      </x:c>
      <x:c r="H102" s="2" t="n">
        <x:v>4</x:v>
      </x:c>
      <x:c r="I102" s="2" t="str">
        <x:v>Expert</x:v>
      </x:c>
      <x:c r="J102" s="2" t="str">
        <x:v>Core</x:v>
      </x:c>
      <x:c r="K102" s="2" t="str">
        <x:v>LAB-100</x:v>
      </x:c>
      <x:c r="L102" s="2" t="str">
        <x:v>☐ Not Started</x:v>
      </x:c>
      <x:c r="M102" s="2" t="n">
        <x:v>0</x:v>
      </x:c>
      <x:c r="N102" s="2" t="str"/>
      <x:c r="O102" s="3"/>
      <x:c r="P102" s="8" t="str">
        <x:v>Save configs, key show commands, packet/traffic proof, fault notes, and a short root-cause summary.</x:v>
      </x:c>
      <x:c r="Q102" s="8" t="str"/>
    </x:row>
    <x:row r="103">
      <x:c r="A103" s="2" t="str">
        <x:v>LAB-102</x:v>
      </x:c>
      <x:c r="B103" s="2" t="str">
        <x:v>10. CoS</x:v>
      </x:c>
      <x:c r="C103" s="2" t="str">
        <x:v>Class of Service</x:v>
      </x:c>
      <x:c r="D103" s="2" t="str">
        <x:v>Expert</x:v>
      </x:c>
      <x:c r="E103" s="2" t="str">
        <x:v>CoS congestion experiment</x:v>
      </x:c>
      <x:c r="F103" s="8" t="str">
        <x:v>Generate contention and prove loss, latency and queue behavior per class.</x:v>
      </x:c>
      <x:c r="G103" s="8" t="str">
        <x:v>Minimum 4–8 routers as needed; add CE/host/traffic-generator nodes for service validation.</x:v>
      </x:c>
      <x:c r="H103" s="2" t="n">
        <x:v>4</x:v>
      </x:c>
      <x:c r="I103" s="2" t="str">
        <x:v>Expert</x:v>
      </x:c>
      <x:c r="J103" s="2" t="str">
        <x:v>Core</x:v>
      </x:c>
      <x:c r="K103" s="2" t="str">
        <x:v>LAB-101</x:v>
      </x:c>
      <x:c r="L103" s="2" t="str">
        <x:v>☐ Not Started</x:v>
      </x:c>
      <x:c r="M103" s="2" t="n">
        <x:v>0</x:v>
      </x:c>
      <x:c r="N103" s="2" t="str"/>
      <x:c r="O103" s="3"/>
      <x:c r="P103" s="8" t="str">
        <x:v>Save configs, key show commands, packet/traffic proof, fault notes, and a short root-cause summary.</x:v>
      </x:c>
      <x:c r="Q103" s="8" t="str"/>
    </x:row>
    <x:row r="104">
      <x:c r="A104" s="2" t="str">
        <x:v>LAB-103</x:v>
      </x:c>
      <x:c r="B104" s="2" t="str">
        <x:v>10. CoS</x:v>
      </x:c>
      <x:c r="C104" s="2" t="str">
        <x:v>Class of Service</x:v>
      </x:c>
      <x:c r="D104" s="2" t="str">
        <x:v>Expert</x:v>
      </x:c>
      <x:c r="E104" s="2" t="str">
        <x:v>CoS troubleshooting fault pack</x:v>
      </x:c>
      <x:c r="F104" s="8" t="str">
        <x:v>Repair classifier, rewrite, scheduler-map and interface attachment errors.</x:v>
      </x:c>
      <x:c r="G104" s="8" t="str">
        <x:v>Minimum 4–8 routers as needed; add CE/host/traffic-generator nodes for service validation.</x:v>
      </x:c>
      <x:c r="H104" s="2" t="n">
        <x:v>4</x:v>
      </x:c>
      <x:c r="I104" s="2" t="str">
        <x:v>Expert</x:v>
      </x:c>
      <x:c r="J104" s="2" t="str">
        <x:v>Core</x:v>
      </x:c>
      <x:c r="K104" s="2" t="str">
        <x:v>LAB-102</x:v>
      </x:c>
      <x:c r="L104" s="2" t="str">
        <x:v>☐ Not Started</x:v>
      </x:c>
      <x:c r="M104" s="2" t="n">
        <x:v>0</x:v>
      </x:c>
      <x:c r="N104" s="2" t="str"/>
      <x:c r="O104" s="3"/>
      <x:c r="P104" s="8" t="str">
        <x:v>Save configs, key show commands, packet/traffic proof, fault notes, and a short root-cause summary.</x:v>
      </x:c>
      <x:c r="Q104" s="8" t="str"/>
    </x:row>
    <x:row r="105">
      <x:c r="A105" s="2" t="str">
        <x:v>LAB-104</x:v>
      </x:c>
      <x:c r="B105" s="2" t="str">
        <x:v>11. Operations &amp; Automation</x:v>
      </x:c>
      <x:c r="C105" s="2" t="str">
        <x:v>Operations</x:v>
      </x:c>
      <x:c r="D105" s="2" t="str">
        <x:v>Production</x:v>
      </x:c>
      <x:c r="E105" s="2" t="str">
        <x:v>Firewall filters and policers</x:v>
      </x:c>
      <x:c r="F105" s="8" t="str">
        <x:v>Protect routing engine and service interfaces with auditable stateless filters.</x:v>
      </x:c>
      <x:c r="G105" s="8" t="str">
        <x:v>Minimum 4–8 routers as needed; add CE/host/traffic-generator nodes for service validation.</x:v>
      </x:c>
      <x:c r="H105" s="2" t="n">
        <x:v>4</x:v>
      </x:c>
      <x:c r="I105" s="2" t="str">
        <x:v>Advanced</x:v>
      </x:c>
      <x:c r="J105" s="2" t="str">
        <x:v>Beyond Exam</x:v>
      </x:c>
      <x:c r="K105" s="2" t="str"/>
      <x:c r="L105" s="2" t="str">
        <x:v>☐ Not Started</x:v>
      </x:c>
      <x:c r="M105" s="2" t="n">
        <x:v>0</x:v>
      </x:c>
      <x:c r="N105" s="2" t="str"/>
      <x:c r="O105" s="3"/>
      <x:c r="P105" s="8" t="str">
        <x:v>Save configs, key show commands, packet/traffic proof, fault notes, and a short root-cause summary.</x:v>
      </x:c>
      <x:c r="Q105" s="8" t="str"/>
    </x:row>
    <x:row r="106">
      <x:c r="A106" s="2" t="str">
        <x:v>LAB-105</x:v>
      </x:c>
      <x:c r="B106" s="2" t="str">
        <x:v>11. Operations &amp; Automation</x:v>
      </x:c>
      <x:c r="C106" s="2" t="str">
        <x:v>Operations</x:v>
      </x:c>
      <x:c r="D106" s="2" t="str">
        <x:v>Production</x:v>
      </x:c>
      <x:c r="E106" s="2" t="str">
        <x:v>Routing Engine protection</x:v>
      </x:c>
      <x:c r="F106" s="8" t="str">
        <x:v>Design lo0 filters for BGP, IGP, LDP, RSVP, BFD, SSH and management traffic.</x:v>
      </x:c>
      <x:c r="G106" s="8" t="str">
        <x:v>Minimum 4–8 routers as needed; add CE/host/traffic-generator nodes for service validation.</x:v>
      </x:c>
      <x:c r="H106" s="2" t="n">
        <x:v>4</x:v>
      </x:c>
      <x:c r="I106" s="2" t="str">
        <x:v>Advanced</x:v>
      </x:c>
      <x:c r="J106" s="2" t="str">
        <x:v>Beyond Exam</x:v>
      </x:c>
      <x:c r="K106" s="2" t="str">
        <x:v>LAB-104</x:v>
      </x:c>
      <x:c r="L106" s="2" t="str">
        <x:v>☐ Not Started</x:v>
      </x:c>
      <x:c r="M106" s="2" t="n">
        <x:v>0</x:v>
      </x:c>
      <x:c r="N106" s="2" t="str"/>
      <x:c r="O106" s="3"/>
      <x:c r="P106" s="8" t="str">
        <x:v>Save configs, key show commands, packet/traffic proof, fault notes, and a short root-cause summary.</x:v>
      </x:c>
      <x:c r="Q106" s="8" t="str"/>
    </x:row>
    <x:row r="107">
      <x:c r="A107" s="2" t="str">
        <x:v>LAB-106</x:v>
      </x:c>
      <x:c r="B107" s="2" t="str">
        <x:v>11. Operations &amp; Automation</x:v>
      </x:c>
      <x:c r="C107" s="2" t="str">
        <x:v>Operations</x:v>
      </x:c>
      <x:c r="D107" s="2" t="str">
        <x:v>Production</x:v>
      </x:c>
      <x:c r="E107" s="2" t="str">
        <x:v>RPM and event policy</x:v>
      </x:c>
      <x:c r="F107" s="8" t="str">
        <x:v>Measure reachability and trigger a safe operational response.</x:v>
      </x:c>
      <x:c r="G107" s="8" t="str">
        <x:v>Minimum 4–8 routers as needed; add CE/host/traffic-generator nodes for service validation.</x:v>
      </x:c>
      <x:c r="H107" s="2" t="n">
        <x:v>4</x:v>
      </x:c>
      <x:c r="I107" s="2" t="str">
        <x:v>Advanced</x:v>
      </x:c>
      <x:c r="J107" s="2" t="str">
        <x:v>Beyond Exam</x:v>
      </x:c>
      <x:c r="K107" s="2" t="str">
        <x:v>LAB-105</x:v>
      </x:c>
      <x:c r="L107" s="2" t="str">
        <x:v>☐ Not Started</x:v>
      </x:c>
      <x:c r="M107" s="2" t="n">
        <x:v>0</x:v>
      </x:c>
      <x:c r="N107" s="2" t="str"/>
      <x:c r="O107" s="3"/>
      <x:c r="P107" s="8" t="str">
        <x:v>Save configs, key show commands, packet/traffic proof, fault notes, and a short root-cause summary.</x:v>
      </x:c>
      <x:c r="Q107" s="8" t="str"/>
    </x:row>
    <x:row r="108">
      <x:c r="A108" s="2" t="str">
        <x:v>LAB-107</x:v>
      </x:c>
      <x:c r="B108" s="2" t="str">
        <x:v>11. Operations &amp; Automation</x:v>
      </x:c>
      <x:c r="C108" s="2" t="str">
        <x:v>Operations</x:v>
      </x:c>
      <x:c r="D108" s="2" t="str">
        <x:v>Production</x:v>
      </x:c>
      <x:c r="E108" s="2" t="str">
        <x:v>Telemetry and streaming data</x:v>
      </x:c>
      <x:c r="F108" s="8" t="str">
        <x:v>Expose useful interface, routing and system telemetry to a collector.</x:v>
      </x:c>
      <x:c r="G108" s="8" t="str">
        <x:v>Minimum 4–8 routers as needed; add CE/host/traffic-generator nodes for service validation.</x:v>
      </x:c>
      <x:c r="H108" s="2" t="n">
        <x:v>4</x:v>
      </x:c>
      <x:c r="I108" s="2" t="str">
        <x:v>Advanced</x:v>
      </x:c>
      <x:c r="J108" s="2" t="str">
        <x:v>Beyond Exam</x:v>
      </x:c>
      <x:c r="K108" s="2" t="str">
        <x:v>LAB-106</x:v>
      </x:c>
      <x:c r="L108" s="2" t="str">
        <x:v>☐ Not Started</x:v>
      </x:c>
      <x:c r="M108" s="2" t="n">
        <x:v>0</x:v>
      </x:c>
      <x:c r="N108" s="2" t="str"/>
      <x:c r="O108" s="3"/>
      <x:c r="P108" s="8" t="str">
        <x:v>Save configs, key show commands, packet/traffic proof, fault notes, and a short root-cause summary.</x:v>
      </x:c>
      <x:c r="Q108" s="8" t="str"/>
    </x:row>
    <x:row r="109">
      <x:c r="A109" s="2" t="str">
        <x:v>LAB-108</x:v>
      </x:c>
      <x:c r="B109" s="2" t="str">
        <x:v>11. Operations &amp; Automation</x:v>
      </x:c>
      <x:c r="C109" s="2" t="str">
        <x:v>Operations</x:v>
      </x:c>
      <x:c r="D109" s="2" t="str">
        <x:v>Production</x:v>
      </x:c>
      <x:c r="E109" s="2" t="str">
        <x:v>NETCONF configuration workflow</x:v>
      </x:c>
      <x:c r="F109" s="8" t="str">
        <x:v>Retrieve, compare, edit and commit configuration programmatically.</x:v>
      </x:c>
      <x:c r="G109" s="8" t="str">
        <x:v>Minimum 4–8 routers as needed; add CE/host/traffic-generator nodes for service validation.</x:v>
      </x:c>
      <x:c r="H109" s="2" t="n">
        <x:v>4</x:v>
      </x:c>
      <x:c r="I109" s="2" t="str">
        <x:v>Advanced</x:v>
      </x:c>
      <x:c r="J109" s="2" t="str">
        <x:v>Beyond Exam</x:v>
      </x:c>
      <x:c r="K109" s="2" t="str">
        <x:v>LAB-107</x:v>
      </x:c>
      <x:c r="L109" s="2" t="str">
        <x:v>☐ Not Started</x:v>
      </x:c>
      <x:c r="M109" s="2" t="n">
        <x:v>0</x:v>
      </x:c>
      <x:c r="N109" s="2" t="str"/>
      <x:c r="O109" s="3"/>
      <x:c r="P109" s="8" t="str">
        <x:v>Save configs, key show commands, packet/traffic proof, fault notes, and a short root-cause summary.</x:v>
      </x:c>
      <x:c r="Q109" s="8" t="str"/>
    </x:row>
    <x:row r="110">
      <x:c r="A110" s="2" t="str">
        <x:v>LAB-109</x:v>
      </x:c>
      <x:c r="B110" s="2" t="str">
        <x:v>11. Operations &amp; Automation</x:v>
      </x:c>
      <x:c r="C110" s="2" t="str">
        <x:v>Operations</x:v>
      </x:c>
      <x:c r="D110" s="2" t="str">
        <x:v>Production</x:v>
      </x:c>
      <x:c r="E110" s="2" t="str">
        <x:v>PyEZ state validation</x:v>
      </x:c>
      <x:c r="F110" s="8" t="str">
        <x:v>Build a small validator for adjacencies, routes and labels.</x:v>
      </x:c>
      <x:c r="G110" s="8" t="str">
        <x:v>Minimum 4–8 routers as needed; add CE/host/traffic-generator nodes for service validation.</x:v>
      </x:c>
      <x:c r="H110" s="2" t="n">
        <x:v>4</x:v>
      </x:c>
      <x:c r="I110" s="2" t="str">
        <x:v>Advanced</x:v>
      </x:c>
      <x:c r="J110" s="2" t="str">
        <x:v>Beyond Exam</x:v>
      </x:c>
      <x:c r="K110" s="2" t="str">
        <x:v>LAB-108</x:v>
      </x:c>
      <x:c r="L110" s="2" t="str">
        <x:v>☐ Not Started</x:v>
      </x:c>
      <x:c r="M110" s="2" t="n">
        <x:v>0</x:v>
      </x:c>
      <x:c r="N110" s="2" t="str"/>
      <x:c r="O110" s="3"/>
      <x:c r="P110" s="8" t="str">
        <x:v>Save configs, key show commands, packet/traffic proof, fault notes, and a short root-cause summary.</x:v>
      </x:c>
      <x:c r="Q110" s="8" t="str"/>
    </x:row>
    <x:row r="111">
      <x:c r="A111" s="2" t="str">
        <x:v>LAB-110</x:v>
      </x:c>
      <x:c r="B111" s="2" t="str">
        <x:v>11. Operations &amp; Automation</x:v>
      </x:c>
      <x:c r="C111" s="2" t="str">
        <x:v>Operations</x:v>
      </x:c>
      <x:c r="D111" s="2" t="str">
        <x:v>Production</x:v>
      </x:c>
      <x:c r="E111" s="2" t="str">
        <x:v>Configuration compliance</x:v>
      </x:c>
      <x:c r="F111" s="8" t="str">
        <x:v>Detect drift against a golden baseline without overwriting intended exceptions.</x:v>
      </x:c>
      <x:c r="G111" s="8" t="str">
        <x:v>Minimum 4–8 routers as needed; add CE/host/traffic-generator nodes for service validation.</x:v>
      </x:c>
      <x:c r="H111" s="2" t="n">
        <x:v>4</x:v>
      </x:c>
      <x:c r="I111" s="2" t="str">
        <x:v>Advanced</x:v>
      </x:c>
      <x:c r="J111" s="2" t="str">
        <x:v>Beyond Exam</x:v>
      </x:c>
      <x:c r="K111" s="2" t="str">
        <x:v>LAB-109</x:v>
      </x:c>
      <x:c r="L111" s="2" t="str">
        <x:v>☐ Not Started</x:v>
      </x:c>
      <x:c r="M111" s="2" t="n">
        <x:v>0</x:v>
      </x:c>
      <x:c r="N111" s="2" t="str"/>
      <x:c r="O111" s="3"/>
      <x:c r="P111" s="8" t="str">
        <x:v>Save configs, key show commands, packet/traffic proof, fault notes, and a short root-cause summary.</x:v>
      </x:c>
      <x:c r="Q111" s="8" t="str"/>
    </x:row>
    <x:row r="112">
      <x:c r="A112" s="2" t="str">
        <x:v>LAB-111</x:v>
      </x:c>
      <x:c r="B112" s="2" t="str">
        <x:v>11. Operations &amp; Automation</x:v>
      </x:c>
      <x:c r="C112" s="2" t="str">
        <x:v>Operations</x:v>
      </x:c>
      <x:c r="D112" s="2" t="str">
        <x:v>Production</x:v>
      </x:c>
      <x:c r="E112" s="2" t="str">
        <x:v>Upgrade and rollback rehearsal</x:v>
      </x:c>
      <x:c r="F112" s="8" t="str">
        <x:v>Plan and simulate prechecks, maintenance validation and rollback decision points.</x:v>
      </x:c>
      <x:c r="G112" s="8" t="str">
        <x:v>Minimum 4–8 routers as needed; add CE/host/traffic-generator nodes for service validation.</x:v>
      </x:c>
      <x:c r="H112" s="2" t="n">
        <x:v>4</x:v>
      </x:c>
      <x:c r="I112" s="2" t="str">
        <x:v>Advanced</x:v>
      </x:c>
      <x:c r="J112" s="2" t="str">
        <x:v>Beyond Exam</x:v>
      </x:c>
      <x:c r="K112" s="2" t="str">
        <x:v>LAB-110</x:v>
      </x:c>
      <x:c r="L112" s="2" t="str">
        <x:v>☐ Not Started</x:v>
      </x:c>
      <x:c r="M112" s="2" t="n">
        <x:v>0</x:v>
      </x:c>
      <x:c r="N112" s="2" t="str"/>
      <x:c r="O112" s="3"/>
      <x:c r="P112" s="8" t="str">
        <x:v>Save configs, key show commands, packet/traffic proof, fault notes, and a short root-cause summary.</x:v>
      </x:c>
      <x:c r="Q112" s="8" t="str"/>
    </x:row>
    <x:row r="113">
      <x:c r="A113" s="2" t="str">
        <x:v>LAB-112</x:v>
      </x:c>
      <x:c r="B113" s="2" t="str">
        <x:v>11. Operations &amp; Automation</x:v>
      </x:c>
      <x:c r="C113" s="2" t="str">
        <x:v>Operations</x:v>
      </x:c>
      <x:c r="D113" s="2" t="str">
        <x:v>Production</x:v>
      </x:c>
      <x:c r="E113" s="2" t="str">
        <x:v>Incident evidence collection</x:v>
      </x:c>
      <x:c r="F113" s="8" t="str">
        <x:v>Capture timestamped control-plane and data-plane evidence before changing config.</x:v>
      </x:c>
      <x:c r="G113" s="8" t="str">
        <x:v>Minimum 4–8 routers as needed; add CE/host/traffic-generator nodes for service validation.</x:v>
      </x:c>
      <x:c r="H113" s="2" t="n">
        <x:v>4</x:v>
      </x:c>
      <x:c r="I113" s="2" t="str">
        <x:v>Advanced</x:v>
      </x:c>
      <x:c r="J113" s="2" t="str">
        <x:v>Beyond Exam</x:v>
      </x:c>
      <x:c r="K113" s="2" t="str">
        <x:v>LAB-111</x:v>
      </x:c>
      <x:c r="L113" s="2" t="str">
        <x:v>☐ Not Started</x:v>
      </x:c>
      <x:c r="M113" s="2" t="n">
        <x:v>0</x:v>
      </x:c>
      <x:c r="N113" s="2" t="str"/>
      <x:c r="O113" s="3"/>
      <x:c r="P113" s="8" t="str">
        <x:v>Save configs, key show commands, packet/traffic proof, fault notes, and a short root-cause summary.</x:v>
      </x:c>
      <x:c r="Q113" s="8" t="str"/>
    </x:row>
    <x:row r="114">
      <x:c r="A114" s="2" t="str">
        <x:v>LAB-113</x:v>
      </x:c>
      <x:c r="B114" s="2" t="str">
        <x:v>11. Operations &amp; Automation</x:v>
      </x:c>
      <x:c r="C114" s="2" t="str">
        <x:v>Operations</x:v>
      </x:c>
      <x:c r="D114" s="2" t="str">
        <x:v>Production</x:v>
      </x:c>
      <x:c r="E114" s="2" t="str">
        <x:v>Postmortem laboratory</x:v>
      </x:c>
      <x:c r="F114" s="8" t="str">
        <x:v>Write timeline, root cause, contributing factors and corrective actions from a seeded outage.</x:v>
      </x:c>
      <x:c r="G114" s="8" t="str">
        <x:v>Minimum 4–8 routers as needed; add CE/host/traffic-generator nodes for service validation.</x:v>
      </x:c>
      <x:c r="H114" s="2" t="n">
        <x:v>4</x:v>
      </x:c>
      <x:c r="I114" s="2" t="str">
        <x:v>Advanced</x:v>
      </x:c>
      <x:c r="J114" s="2" t="str">
        <x:v>Beyond Exam</x:v>
      </x:c>
      <x:c r="K114" s="2" t="str">
        <x:v>LAB-112</x:v>
      </x:c>
      <x:c r="L114" s="2" t="str">
        <x:v>☐ Not Started</x:v>
      </x:c>
      <x:c r="M114" s="2" t="n">
        <x:v>0</x:v>
      </x:c>
      <x:c r="N114" s="2" t="str"/>
      <x:c r="O114" s="3"/>
      <x:c r="P114" s="8" t="str">
        <x:v>Save configs, key show commands, packet/traffic proof, fault notes, and a short root-cause summary.</x:v>
      </x:c>
      <x:c r="Q114" s="8" t="str"/>
    </x:row>
    <x:row r="115">
      <x:c r="A115" s="2" t="str">
        <x:v>LAB-114</x:v>
      </x:c>
      <x:c r="B115" s="2" t="str">
        <x:v>12. Expert Integration</x:v>
      </x:c>
      <x:c r="C115" s="2" t="str">
        <x:v>Integrated Troubleshooting</x:v>
      </x:c>
      <x:c r="D115" s="2" t="str">
        <x:v>Capstone</x:v>
      </x:c>
      <x:c r="E115" s="2" t="str">
        <x:v>Broken core: IGP plus MPLS</x:v>
      </x:c>
      <x:c r="F115" s="8" t="str">
        <x:v>Restore an eight-router core containing multiple interacting IGP and label-distribution faults.</x:v>
      </x:c>
      <x:c r="G115" s="8" t="str">
        <x:v>Minimum 4–8 routers as needed; add CE/host/traffic-generator nodes for service validation.</x:v>
      </x:c>
      <x:c r="H115" s="2" t="n">
        <x:v>8</x:v>
      </x:c>
      <x:c r="I115" s="2" t="str">
        <x:v>Expert</x:v>
      </x:c>
      <x:c r="J115" s="2" t="str">
        <x:v>Core</x:v>
      </x:c>
      <x:c r="K115" s="2" t="str"/>
      <x:c r="L115" s="2" t="str">
        <x:v>☐ Not Started</x:v>
      </x:c>
      <x:c r="M115" s="2" t="n">
        <x:v>0</x:v>
      </x:c>
      <x:c r="N115" s="2" t="str"/>
      <x:c r="O115" s="3"/>
      <x:c r="P115" s="8" t="str">
        <x:v>Save configs, key show commands, packet/traffic proof, fault notes, and a short root-cause summary.</x:v>
      </x:c>
      <x:c r="Q115" s="8" t="str"/>
    </x:row>
    <x:row r="116">
      <x:c r="A116" s="2" t="str">
        <x:v>LAB-115</x:v>
      </x:c>
      <x:c r="B116" s="2" t="str">
        <x:v>12. Expert Integration</x:v>
      </x:c>
      <x:c r="C116" s="2" t="str">
        <x:v>Integrated Troubleshooting</x:v>
      </x:c>
      <x:c r="D116" s="2" t="str">
        <x:v>Capstone</x:v>
      </x:c>
      <x:c r="E116" s="2" t="str">
        <x:v>Broken L3VPN service</x:v>
      </x:c>
      <x:c r="F116" s="8" t="str">
        <x:v>Restore several VPN sites while preserving route isolation and documenting root cause.</x:v>
      </x:c>
      <x:c r="G116" s="8" t="str">
        <x:v>Minimum 4–8 routers as needed; add CE/host/traffic-generator nodes for service validation.</x:v>
      </x:c>
      <x:c r="H116" s="2" t="n">
        <x:v>8</x:v>
      </x:c>
      <x:c r="I116" s="2" t="str">
        <x:v>Expert</x:v>
      </x:c>
      <x:c r="J116" s="2" t="str">
        <x:v>Core</x:v>
      </x:c>
      <x:c r="K116" s="2" t="str">
        <x:v>LAB-114</x:v>
      </x:c>
      <x:c r="L116" s="2" t="str">
        <x:v>☐ Not Started</x:v>
      </x:c>
      <x:c r="M116" s="2" t="n">
        <x:v>0</x:v>
      </x:c>
      <x:c r="N116" s="2" t="str"/>
      <x:c r="O116" s="3"/>
      <x:c r="P116" s="8" t="str">
        <x:v>Save configs, key show commands, packet/traffic proof, fault notes, and a short root-cause summary.</x:v>
      </x:c>
      <x:c r="Q116" s="8" t="str"/>
    </x:row>
    <x:row r="117">
      <x:c r="A117" s="2" t="str">
        <x:v>LAB-116</x:v>
      </x:c>
      <x:c r="B117" s="2" t="str">
        <x:v>12. Expert Integration</x:v>
      </x:c>
      <x:c r="C117" s="2" t="str">
        <x:v>Integrated Troubleshooting</x:v>
      </x:c>
      <x:c r="D117" s="2" t="str">
        <x:v>Capstone</x:v>
      </x:c>
      <x:c r="E117" s="2" t="str">
        <x:v>Broken L2VPN and EVPN services</x:v>
      </x:c>
      <x:c r="F117" s="8" t="str">
        <x:v>Restore pseudowire, VPLS and EVPN tenants with overlapping symptoms.</x:v>
      </x:c>
      <x:c r="G117" s="8" t="str">
        <x:v>Minimum 4–8 routers as needed; add CE/host/traffic-generator nodes for service validation.</x:v>
      </x:c>
      <x:c r="H117" s="2" t="n">
        <x:v>8</x:v>
      </x:c>
      <x:c r="I117" s="2" t="str">
        <x:v>Expert</x:v>
      </x:c>
      <x:c r="J117" s="2" t="str">
        <x:v>Core</x:v>
      </x:c>
      <x:c r="K117" s="2" t="str">
        <x:v>LAB-115</x:v>
      </x:c>
      <x:c r="L117" s="2" t="str">
        <x:v>☐ Not Started</x:v>
      </x:c>
      <x:c r="M117" s="2" t="n">
        <x:v>0</x:v>
      </x:c>
      <x:c r="N117" s="2" t="str"/>
      <x:c r="O117" s="3"/>
      <x:c r="P117" s="8" t="str">
        <x:v>Save configs, key show commands, packet/traffic proof, fault notes, and a short root-cause summary.</x:v>
      </x:c>
      <x:c r="Q117" s="8" t="str"/>
    </x:row>
    <x:row r="118">
      <x:c r="A118" s="2" t="str">
        <x:v>LAB-117</x:v>
      </x:c>
      <x:c r="B118" s="2" t="str">
        <x:v>12. Expert Integration</x:v>
      </x:c>
      <x:c r="C118" s="2" t="str">
        <x:v>Integrated Troubleshooting</x:v>
      </x:c>
      <x:c r="D118" s="2" t="str">
        <x:v>Capstone</x:v>
      </x:c>
      <x:c r="E118" s="2" t="str">
        <x:v>Brownfield policy change</x:v>
      </x:c>
      <x:c r="F118" s="8" t="str">
        <x:v>Introduce a new customer and transit policy with validation and rollback.</x:v>
      </x:c>
      <x:c r="G118" s="8" t="str">
        <x:v>Minimum 4–8 routers as needed; add CE/host/traffic-generator nodes for service validation.</x:v>
      </x:c>
      <x:c r="H118" s="2" t="n">
        <x:v>8</x:v>
      </x:c>
      <x:c r="I118" s="2" t="str">
        <x:v>Expert</x:v>
      </x:c>
      <x:c r="J118" s="2" t="str">
        <x:v>Core</x:v>
      </x:c>
      <x:c r="K118" s="2" t="str">
        <x:v>LAB-116</x:v>
      </x:c>
      <x:c r="L118" s="2" t="str">
        <x:v>☐ Not Started</x:v>
      </x:c>
      <x:c r="M118" s="2" t="n">
        <x:v>0</x:v>
      </x:c>
      <x:c r="N118" s="2" t="str"/>
      <x:c r="O118" s="3"/>
      <x:c r="P118" s="8" t="str">
        <x:v>Save configs, key show commands, packet/traffic proof, fault notes, and a short root-cause summary.</x:v>
      </x:c>
      <x:c r="Q118" s="8" t="str"/>
    </x:row>
    <x:row r="119">
      <x:c r="A119" s="2" t="str">
        <x:v>LAB-118</x:v>
      </x:c>
      <x:c r="B119" s="2" t="str">
        <x:v>12. Expert Integration</x:v>
      </x:c>
      <x:c r="C119" s="2" t="str">
        <x:v>Integrated Troubleshooting</x:v>
      </x:c>
      <x:c r="D119" s="2" t="str">
        <x:v>Capstone</x:v>
      </x:c>
      <x:c r="E119" s="2" t="str">
        <x:v>Convergence optimization</x:v>
      </x:c>
      <x:c r="F119" s="8" t="str">
        <x:v>Reduce measured outage during link and node failures without unstable timers.</x:v>
      </x:c>
      <x:c r="G119" s="8" t="str">
        <x:v>Minimum 4–8 routers as needed; add CE/host/traffic-generator nodes for service validation.</x:v>
      </x:c>
      <x:c r="H119" s="2" t="n">
        <x:v>8</x:v>
      </x:c>
      <x:c r="I119" s="2" t="str">
        <x:v>Expert</x:v>
      </x:c>
      <x:c r="J119" s="2" t="str">
        <x:v>Core</x:v>
      </x:c>
      <x:c r="K119" s="2" t="str">
        <x:v>LAB-117</x:v>
      </x:c>
      <x:c r="L119" s="2" t="str">
        <x:v>☐ Not Started</x:v>
      </x:c>
      <x:c r="M119" s="2" t="n">
        <x:v>0</x:v>
      </x:c>
      <x:c r="N119" s="2" t="str"/>
      <x:c r="O119" s="3"/>
      <x:c r="P119" s="8" t="str">
        <x:v>Save configs, key show commands, packet/traffic proof, fault notes, and a short root-cause summary.</x:v>
      </x:c>
      <x:c r="Q119" s="8" t="str"/>
    </x:row>
    <x:row r="120">
      <x:c r="A120" s="2" t="str">
        <x:v>LAB-119</x:v>
      </x:c>
      <x:c r="B120" s="2" t="str">
        <x:v>12. Expert Integration</x:v>
      </x:c>
      <x:c r="C120" s="2" t="str">
        <x:v>Integrated Troubleshooting</x:v>
      </x:c>
      <x:c r="D120" s="2" t="str">
        <x:v>Capstone</x:v>
      </x:c>
      <x:c r="E120" s="2" t="str">
        <x:v>Scale test</x:v>
      </x:c>
      <x:c r="F120" s="8" t="str">
        <x:v>Generate large route/MAC sets, observe control-plane load and establish safe thresholds.</x:v>
      </x:c>
      <x:c r="G120" s="8" t="str">
        <x:v>Minimum 4–8 routers as needed; add CE/host/traffic-generator nodes for service validation.</x:v>
      </x:c>
      <x:c r="H120" s="2" t="n">
        <x:v>8</x:v>
      </x:c>
      <x:c r="I120" s="2" t="str">
        <x:v>Expert</x:v>
      </x:c>
      <x:c r="J120" s="2" t="str">
        <x:v>Core</x:v>
      </x:c>
      <x:c r="K120" s="2" t="str">
        <x:v>LAB-118</x:v>
      </x:c>
      <x:c r="L120" s="2" t="str">
        <x:v>☐ Not Started</x:v>
      </x:c>
      <x:c r="M120" s="2" t="n">
        <x:v>0</x:v>
      </x:c>
      <x:c r="N120" s="2" t="str"/>
      <x:c r="O120" s="3"/>
      <x:c r="P120" s="8" t="str">
        <x:v>Save configs, key show commands, packet/traffic proof, fault notes, and a short root-cause summary.</x:v>
      </x:c>
      <x:c r="Q120" s="8" t="str"/>
    </x:row>
    <x:row r="121">
      <x:c r="A121" s="2" t="str">
        <x:v>LAB-120</x:v>
      </x:c>
      <x:c r="B121" s="2" t="str">
        <x:v>12. Expert Integration</x:v>
      </x:c>
      <x:c r="C121" s="2" t="str">
        <x:v>Integrated Troubleshooting</x:v>
      </x:c>
      <x:c r="D121" s="2" t="str">
        <x:v>Capstone</x:v>
      </x:c>
      <x:c r="E121" s="2" t="str">
        <x:v>8-hour mock exam 1</x:v>
      </x:c>
      <x:c r="F121" s="8" t="str">
        <x:v>Complete a timed build-and-troubleshoot scenario with no external notes beyond permitted references.</x:v>
      </x:c>
      <x:c r="G121" s="8" t="str">
        <x:v>Minimum 4–8 routers as needed; add CE/host/traffic-generator nodes for service validation.</x:v>
      </x:c>
      <x:c r="H121" s="2" t="n">
        <x:v>8</x:v>
      </x:c>
      <x:c r="I121" s="2" t="str">
        <x:v>Expert</x:v>
      </x:c>
      <x:c r="J121" s="2" t="str">
        <x:v>Core</x:v>
      </x:c>
      <x:c r="K121" s="2" t="str">
        <x:v>LAB-119</x:v>
      </x:c>
      <x:c r="L121" s="2" t="str">
        <x:v>☐ Not Started</x:v>
      </x:c>
      <x:c r="M121" s="2" t="n">
        <x:v>0</x:v>
      </x:c>
      <x:c r="N121" s="2" t="str"/>
      <x:c r="O121" s="3"/>
      <x:c r="P121" s="8" t="str">
        <x:v>Save configs, key show commands, packet/traffic proof, fault notes, and a short root-cause summary.</x:v>
      </x:c>
      <x:c r="Q121" s="8" t="str"/>
    </x:row>
    <x:row r="122">
      <x:c r="A122" s="2" t="str">
        <x:v>LAB-121</x:v>
      </x:c>
      <x:c r="B122" s="2" t="str">
        <x:v>12. Expert Integration</x:v>
      </x:c>
      <x:c r="C122" s="2" t="str">
        <x:v>Integrated Troubleshooting</x:v>
      </x:c>
      <x:c r="D122" s="2" t="str">
        <x:v>Capstone</x:v>
      </x:c>
      <x:c r="E122" s="2" t="str">
        <x:v>8-hour mock exam 2</x:v>
      </x:c>
      <x:c r="F122" s="8" t="str">
        <x:v>Repeat with a fresh topology and close every gap found in mock exam 1.</x:v>
      </x:c>
      <x:c r="G122" s="8" t="str">
        <x:v>Minimum 4–8 routers as needed; add CE/host/traffic-generator nodes for service validation.</x:v>
      </x:c>
      <x:c r="H122" s="2" t="n">
        <x:v>8</x:v>
      </x:c>
      <x:c r="I122" s="2" t="str">
        <x:v>Expert</x:v>
      </x:c>
      <x:c r="J122" s="2" t="str">
        <x:v>Core</x:v>
      </x:c>
      <x:c r="K122" s="2" t="str">
        <x:v>LAB-120</x:v>
      </x:c>
      <x:c r="L122" s="2" t="str">
        <x:v>☐ Not Started</x:v>
      </x:c>
      <x:c r="M122" s="2" t="n">
        <x:v>0</x:v>
      </x:c>
      <x:c r="N122" s="2" t="str"/>
      <x:c r="O122" s="3"/>
      <x:c r="P122" s="8" t="str">
        <x:v>Save configs, key show commands, packet/traffic proof, fault notes, and a short root-cause summary.</x:v>
      </x:c>
      <x:c r="Q122" s="8" t="str"/>
    </x:row>
    <x:row r="123">
      <x:c r="A123" s="2" t="str">
        <x:v>LAB-122</x:v>
      </x:c>
      <x:c r="B123" s="2" t="str">
        <x:v>12. Expert Integration</x:v>
      </x:c>
      <x:c r="C123" s="2" t="str">
        <x:v>Integrated Troubleshooting</x:v>
      </x:c>
      <x:c r="D123" s="2" t="str">
        <x:v>Capstone</x:v>
      </x:c>
      <x:c r="E123" s="2" t="str">
        <x:v>Production design review</x:v>
      </x:c>
      <x:c r="F123" s="8" t="str">
        <x:v>Defend architecture, failure domains, capacity, security and operational model to a peer reviewer.</x:v>
      </x:c>
      <x:c r="G123" s="8" t="str">
        <x:v>Minimum 4–8 routers as needed; add CE/host/traffic-generator nodes for service validation.</x:v>
      </x:c>
      <x:c r="H123" s="2" t="n">
        <x:v>8</x:v>
      </x:c>
      <x:c r="I123" s="2" t="str">
        <x:v>Expert</x:v>
      </x:c>
      <x:c r="J123" s="2" t="str">
        <x:v>Core</x:v>
      </x:c>
      <x:c r="K123" s="2" t="str">
        <x:v>LAB-121</x:v>
      </x:c>
      <x:c r="L123" s="2" t="str">
        <x:v>☐ Not Started</x:v>
      </x:c>
      <x:c r="M123" s="2" t="n">
        <x:v>0</x:v>
      </x:c>
      <x:c r="N123" s="2" t="str"/>
      <x:c r="O123" s="3"/>
      <x:c r="P123" s="8" t="str">
        <x:v>Save configs, key show commands, packet/traffic proof, fault notes, and a short root-cause summary.</x:v>
      </x:c>
      <x:c r="Q123" s="8" t="str"/>
    </x:row>
    <x:row r="124">
      <x:c r="A124" s="2" t="str">
        <x:v>LAB-123</x:v>
      </x:c>
      <x:c r="B124" s="2" t="str">
        <x:v>12. Expert Integration</x:v>
      </x:c>
      <x:c r="C124" s="2" t="str">
        <x:v>Integrated Troubleshooting</x:v>
      </x:c>
      <x:c r="D124" s="2" t="str">
        <x:v>Capstone</x:v>
      </x:c>
      <x:c r="E124" s="2" t="str">
        <x:v>Final blind troubleshooting</x:v>
      </x:c>
      <x:c r="F124" s="8" t="str">
        <x:v>Diagnose an unseen fault set using hypothesis, evidence, minimal change and verification.</x:v>
      </x:c>
      <x:c r="G124" s="8" t="str">
        <x:v>Minimum 4–8 routers as needed; add CE/host/traffic-generator nodes for service validation.</x:v>
      </x:c>
      <x:c r="H124" s="2" t="n">
        <x:v>8</x:v>
      </x:c>
      <x:c r="I124" s="2" t="str">
        <x:v>Expert</x:v>
      </x:c>
      <x:c r="J124" s="2" t="str">
        <x:v>Core</x:v>
      </x:c>
      <x:c r="K124" s="2" t="str">
        <x:v>LAB-122</x:v>
      </x:c>
      <x:c r="L124" s="2" t="str">
        <x:v>☐ Not Started</x:v>
      </x:c>
      <x:c r="M124" s="2" t="n">
        <x:v>0</x:v>
      </x:c>
      <x:c r="N124" s="2" t="str"/>
      <x:c r="O124" s="3"/>
      <x:c r="P124" s="8" t="str">
        <x:v>Save configs, key show commands, packet/traffic proof, fault notes, and a short root-cause summary.</x:v>
      </x:c>
      <x:c r="Q124" s="8" t="str"/>
    </x:row>
  </x:sheetData>
  <x:conditionalFormatting sqref="L2:L124">
    <x:cfRule type="containsText" dxfId="0" priority="1" operator="containsText" text="Completed"/>
    <x:cfRule type="containsText" dxfId="1" priority="2" operator="containsText" text="In Progress"/>
    <x:cfRule type="containsText" dxfId="2" priority="3" operator="containsText" text="Revisit"/>
  </x:conditionalFormatting>
  <x:conditionalFormatting sqref="M2:M124">
    <x:cfRule type="dataBar" priority="4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{18FC1C59-A7DD-F50F-A403-A238E1354394}</x14:id>
        </x:ext>
      </x:extLst>
    </x:cfRule>
  </x:conditionalFormatting>
  <x:dataValidations count="2">
    <x:dataValidation type="list" sqref="L2:L124">
      <x:formula1>"☐ Not Started,◐ In Progress,☑ Completed,↻ Revisit"</x:formula1>
    </x:dataValidation>
    <x:dataValidation type="whole" operator="between" sqref="M2:M124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6968ead9c0c4440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4" id="{18FC1C59-A7DD-F50F-A403-A238E1354394}">
            <x14:dataBar gradient="1">
              <x14:cfvo type="min"/>
              <x14:cfvo type="max"/>
              <x14:fillColor rgb="FF5B9BD5"/>
            </x14:dataBar>
          </x14:cfRule>
          <xm:sqref>M2:M124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4" hidden="0" customWidth="1"/>
    <x:col min="3" max="3" width="54" hidden="0" customWidth="1"/>
    <x:col min="4" max="4" width="10" hidden="0" customWidth="1"/>
    <x:col min="5" max="5" width="12" hidden="0" customWidth="1"/>
    <x:col min="6" max="6" width="16" hidden="0" customWidth="1"/>
    <x:col min="7" max="7" width="38" hidden="0" customWidth="1"/>
  </x:cols>
  <x:sheetData>
    <x:row r="1" ht="34" customHeight="1">
      <x:c r="A1" s="64" t="str">
        <x:v>Technology-Based Progression</x:v>
      </x:c>
      <x:c r="B1" s="64"/>
      <x:c r="C1" s="64"/>
      <x:c r="D1" s="64"/>
      <x:c r="E1" s="64"/>
      <x:c r="F1" s="64"/>
      <x:c r="G1" s="64"/>
    </x:row>
    <x:row r="3">
      <x:c r="A3" s="65" t="str">
        <x:v>Phase</x:v>
      </x:c>
      <x:c r="B3" s="65" t="str">
        <x:v>Primary Goal</x:v>
      </x:c>
      <x:c r="C3" s="65" t="str">
        <x:v>Exit Gate</x:v>
      </x:c>
      <x:c r="D3" s="65" t="str">
        <x:v>Labs</x:v>
      </x:c>
      <x:c r="E3" s="65" t="str">
        <x:v>Est. Hours</x:v>
      </x:c>
      <x:c r="F3" s="65" t="str">
        <x:v>Suggested Weeks</x:v>
      </x:c>
      <x:c r="G3" s="65" t="str">
        <x:v>Why It Matters</x:v>
      </x:c>
    </x:row>
    <x:row r="4">
      <x:c r="A4" s="65" t="str">
        <x:v>1. Junos Core Skills</x:v>
      </x:c>
      <x:c r="B4" s="65" t="str">
        <x:v>Junos &amp; Platform</x:v>
      </x:c>
      <x:c r="C4" s="65" t="str">
        <x:v>Rebuild representative Junos &amp; Platform services from blank config and repair at least 3 seeded faults.</x:v>
      </x:c>
      <x:c r="D4" s="65" t="n">
        <x:v>10</x:v>
      </x:c>
      <x:c r="E4" s="65" t="n">
        <x:v>20</x:v>
      </x:c>
      <x:c r="F4" s="65" t="n">
        <x:v>3</x:v>
      </x:c>
      <x:c r="G4" s="65" t="str">
        <x:v>Develop expert implementation and troubleshooting depth.</x:v>
      </x:c>
    </x:row>
    <x:row r="5">
      <x:c r="A5" s="65" t="str">
        <x:v>2. IGP Engineering</x:v>
      </x:c>
      <x:c r="B5" s="65" t="str">
        <x:v>OSPF &amp; IS-IS</x:v>
      </x:c>
      <x:c r="C5" s="65" t="str">
        <x:v>Rebuild representative OSPF &amp; IS-IS services from blank config and repair at least 3 seeded faults.</x:v>
      </x:c>
      <x:c r="D5" s="65" t="n">
        <x:v>12</x:v>
      </x:c>
      <x:c r="E5" s="65" t="n">
        <x:v>36</x:v>
      </x:c>
      <x:c r="F5" s="65" t="n">
        <x:v>5</x:v>
      </x:c>
      <x:c r="G5" s="65" t="str">
        <x:v>Develop expert implementation and troubleshooting depth.</x:v>
      </x:c>
    </x:row>
    <x:row r="6">
      <x:c r="A6" s="65" t="str">
        <x:v>3. BGP at Scale</x:v>
      </x:c>
      <x:c r="B6" s="65" t="str">
        <x:v>BGP</x:v>
      </x:c>
      <x:c r="C6" s="65" t="str">
        <x:v>Rebuild representative BGP services from blank config and repair at least 3 seeded faults.</x:v>
      </x:c>
      <x:c r="D6" s="65" t="n">
        <x:v>12</x:v>
      </x:c>
      <x:c r="E6" s="65" t="n">
        <x:v>36</x:v>
      </x:c>
      <x:c r="F6" s="65" t="n">
        <x:v>5</x:v>
      </x:c>
      <x:c r="G6" s="65" t="str">
        <x:v>Develop expert implementation and troubleshooting depth.</x:v>
      </x:c>
    </x:row>
    <x:row r="7">
      <x:c r="A7" s="65" t="str">
        <x:v>4. MPLS Transport</x:v>
      </x:c>
      <x:c r="B7" s="65" t="str">
        <x:v>MPLS, LDP &amp; RSVP</x:v>
      </x:c>
      <x:c r="C7" s="65" t="str">
        <x:v>Rebuild representative MPLS, LDP &amp; RSVP services from blank config and repair at least 3 seeded faults.</x:v>
      </x:c>
      <x:c r="D7" s="65" t="n">
        <x:v>14</x:v>
      </x:c>
      <x:c r="E7" s="65" t="n">
        <x:v>56</x:v>
      </x:c>
      <x:c r="F7" s="65" t="n">
        <x:v>7</x:v>
      </x:c>
      <x:c r="G7" s="65" t="str">
        <x:v>Develop expert implementation and troubleshooting depth.</x:v>
      </x:c>
    </x:row>
    <x:row r="8">
      <x:c r="A8" s="65" t="str">
        <x:v>5. Segment Routing</x:v>
      </x:c>
      <x:c r="B8" s="65" t="str">
        <x:v>SR-MPLS</x:v>
      </x:c>
      <x:c r="C8" s="65" t="str">
        <x:v>Rebuild representative SR-MPLS services from blank config and repair at least 3 seeded faults.</x:v>
      </x:c>
      <x:c r="D8" s="65" t="n">
        <x:v>8</x:v>
      </x:c>
      <x:c r="E8" s="65" t="n">
        <x:v>32</x:v>
      </x:c>
      <x:c r="F8" s="65" t="n">
        <x:v>4</x:v>
      </x:c>
      <x:c r="G8" s="65" t="str">
        <x:v>Build modern relevance beyond the classic blueprint.</x:v>
      </x:c>
    </x:row>
    <x:row r="9">
      <x:c r="A9" s="65" t="str">
        <x:v>6. Layer 3 VPN</x:v>
      </x:c>
      <x:c r="B9" s="65" t="str">
        <x:v>L3VPN</x:v>
      </x:c>
      <x:c r="C9" s="65" t="str">
        <x:v>Rebuild representative L3VPN services from blank config and repair at least 3 seeded faults.</x:v>
      </x:c>
      <x:c r="D9" s="65" t="n">
        <x:v>12</x:v>
      </x:c>
      <x:c r="E9" s="65" t="n">
        <x:v>48</x:v>
      </x:c>
      <x:c r="F9" s="65" t="n">
        <x:v>6</x:v>
      </x:c>
      <x:c r="G9" s="65" t="str">
        <x:v>Develop expert implementation and troubleshooting depth.</x:v>
      </x:c>
    </x:row>
    <x:row r="10">
      <x:c r="A10" s="65" t="str">
        <x:v>7. Layer 2 Services</x:v>
      </x:c>
      <x:c r="B10" s="65" t="str">
        <x:v>L2VPN &amp; VPLS</x:v>
      </x:c>
      <x:c r="C10" s="65" t="str">
        <x:v>Rebuild representative L2VPN &amp; VPLS services from blank config and repair at least 3 seeded faults.</x:v>
      </x:c>
      <x:c r="D10" s="65" t="n">
        <x:v>9</x:v>
      </x:c>
      <x:c r="E10" s="65" t="n">
        <x:v>36</x:v>
      </x:c>
      <x:c r="F10" s="65" t="n">
        <x:v>5</x:v>
      </x:c>
      <x:c r="G10" s="65" t="str">
        <x:v>Develop expert implementation and troubleshooting depth.</x:v>
      </x:c>
    </x:row>
    <x:row r="11">
      <x:c r="A11" s="65" t="str">
        <x:v>8. EVPN</x:v>
      </x:c>
      <x:c r="B11" s="65" t="str">
        <x:v>EVPN</x:v>
      </x:c>
      <x:c r="C11" s="65" t="str">
        <x:v>Rebuild representative EVPN services from blank config and repair at least 3 seeded faults.</x:v>
      </x:c>
      <x:c r="D11" s="65" t="n">
        <x:v>10</x:v>
      </x:c>
      <x:c r="E11" s="65" t="n">
        <x:v>40</x:v>
      </x:c>
      <x:c r="F11" s="65" t="n">
        <x:v>5</x:v>
      </x:c>
      <x:c r="G11" s="65" t="str">
        <x:v>Build modern relevance beyond the classic blueprint.</x:v>
      </x:c>
    </x:row>
    <x:row r="12">
      <x:c r="A12" s="65" t="str">
        <x:v>9. Multicast</x:v>
      </x:c>
      <x:c r="B12" s="65" t="str">
        <x:v>Multicast &amp; MVPN</x:v>
      </x:c>
      <x:c r="C12" s="65" t="str">
        <x:v>Rebuild representative Multicast &amp; MVPN services from blank config and repair at least 3 seeded faults.</x:v>
      </x:c>
      <x:c r="D12" s="65" t="n">
        <x:v>9</x:v>
      </x:c>
      <x:c r="E12" s="65" t="n">
        <x:v>36</x:v>
      </x:c>
      <x:c r="F12" s="65" t="n">
        <x:v>5</x:v>
      </x:c>
      <x:c r="G12" s="65" t="str">
        <x:v>Develop expert implementation and troubleshooting depth.</x:v>
      </x:c>
    </x:row>
    <x:row r="13">
      <x:c r="A13" s="65" t="str">
        <x:v>10. CoS</x:v>
      </x:c>
      <x:c r="B13" s="65" t="str">
        <x:v>Class of Service</x:v>
      </x:c>
      <x:c r="C13" s="65" t="str">
        <x:v>Rebuild representative Class of Service services from blank config and repair at least 3 seeded faults.</x:v>
      </x:c>
      <x:c r="D13" s="65" t="n">
        <x:v>7</x:v>
      </x:c>
      <x:c r="E13" s="65" t="n">
        <x:v>28</x:v>
      </x:c>
      <x:c r="F13" s="65" t="n">
        <x:v>4</x:v>
      </x:c>
      <x:c r="G13" s="65" t="str">
        <x:v>Develop expert implementation and troubleshooting depth.</x:v>
      </x:c>
    </x:row>
    <x:row r="14">
      <x:c r="A14" s="65" t="str">
        <x:v>11. Operations &amp; Automation</x:v>
      </x:c>
      <x:c r="B14" s="65" t="str">
        <x:v>Operations</x:v>
      </x:c>
      <x:c r="C14" s="65" t="str">
        <x:v>Rebuild representative Operations services from blank config and repair at least 3 seeded faults.</x:v>
      </x:c>
      <x:c r="D14" s="65" t="n">
        <x:v>10</x:v>
      </x:c>
      <x:c r="E14" s="65" t="n">
        <x:v>40</x:v>
      </x:c>
      <x:c r="F14" s="65" t="n">
        <x:v>5</x:v>
      </x:c>
      <x:c r="G14" s="65" t="str">
        <x:v>Turn configuration skill into safe operations.</x:v>
      </x:c>
    </x:row>
    <x:row r="15">
      <x:c r="A15" s="65" t="str">
        <x:v>12. Expert Integration</x:v>
      </x:c>
      <x:c r="B15" s="65" t="str">
        <x:v>Integrated Troubleshooting</x:v>
      </x:c>
      <x:c r="C15" s="65" t="str">
        <x:v>Complete two 8-hour mocks ≥80% and pass blind troubleshooting review.</x:v>
      </x:c>
      <x:c r="D15" s="65" t="n">
        <x:v>10</x:v>
      </x:c>
      <x:c r="E15" s="65" t="n">
        <x:v>80</x:v>
      </x:c>
      <x:c r="F15" s="65" t="n">
        <x:v>10</x:v>
      </x:c>
      <x:c r="G15" s="65" t="str">
        <x:v>Develop expert implementation and troubleshooting depth.</x:v>
      </x:c>
    </x:row>
  </x:sheetData>
  <x:mergeCells>
    <x:mergeCell ref="A1:G1"/>
  </x:mergeCells>
  <x:pageMargins left="0.7" right="0.7" top="0.75" bottom="0.75" header="0.3" footer="0.3"/>
  <x:tableParts count="1">
    <x:tablePart xmlns:r="http://schemas.openxmlformats.org/officeDocument/2006/relationships" r:id="R0bab42737cfe483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64" t="str">
        <x:v>Capstone &amp; Timed Practice Scorecard</x:v>
      </x:c>
      <x:c r="B1" s="64"/>
      <x:c r="C1" s="64"/>
      <x:c r="D1" s="64"/>
      <x:c r="E1" s="64"/>
      <x:c r="F1" s="64"/>
      <x:c r="G1" s="64"/>
      <x:c r="H1" s="64"/>
    </x:row>
    <x:row r="3">
      <x:c r="A3" t="str">
        <x:v>Attempt</x:v>
      </x:c>
      <x:c r="B3" t="str">
        <x:v>Scenario</x:v>
      </x:c>
      <x:c r="C3" t="str">
        <x:v>Date</x:v>
      </x:c>
      <x:c r="D3" t="str">
        <x:v>Build %</x:v>
      </x:c>
      <x:c r="E3" t="str">
        <x:v>Troubleshoot %</x:v>
      </x:c>
      <x:c r="F3" t="str">
        <x:v>Verification %</x:v>
      </x:c>
      <x:c r="G3" t="str">
        <x:v>Time Mgmt %</x:v>
      </x:c>
      <x:c r="H3" t="str">
        <x:v>Overall %</x:v>
      </x:c>
    </x:row>
    <x:row r="4">
      <x:c r="A4" t="n">
        <x:v>1</x:v>
      </x:c>
      <x:c r="B4" t="str">
        <x:v>IGP + MPLS core</x:v>
      </x:c>
      <x:c r="C4" s="1"/>
      <x:c r="D4" s="15" t="n">
        <x:v>0</x:v>
      </x:c>
      <x:c r="E4" s="15" t="n">
        <x:v>0</x:v>
      </x:c>
      <x:c r="F4" s="15" t="n">
        <x:v>0</x:v>
      </x:c>
      <x:c r="G4" s="15" t="n">
        <x:v>0</x:v>
      </x:c>
      <x:c r="H4" s="15" t="n">
        <x:f>AVERAGE(D4:G4)</x:f>
        <x:v>0</x:v>
      </x:c>
    </x:row>
    <x:row r="5">
      <x:c r="A5" t="n">
        <x:v>2</x:v>
      </x:c>
      <x:c r="B5" t="str">
        <x:v>BGP + L3VPN</x:v>
      </x:c>
      <x:c r="C5" s="1"/>
      <x:c r="D5" s="15" t="n">
        <x:v>0</x:v>
      </x:c>
      <x:c r="E5" s="15" t="n">
        <x:v>0</x:v>
      </x:c>
      <x:c r="F5" s="15" t="n">
        <x:v>0</x:v>
      </x:c>
      <x:c r="G5" s="15" t="n">
        <x:v>0</x:v>
      </x:c>
      <x:c r="H5" s="15" t="n">
        <x:f>AVERAGE(D5:G5)</x:f>
        <x:v>0</x:v>
      </x:c>
    </x:row>
    <x:row r="6">
      <x:c r="A6" t="n">
        <x:v>3</x:v>
      </x:c>
      <x:c r="B6" t="str">
        <x:v>L2VPN + EVPN</x:v>
      </x:c>
      <x:c r="C6" s="1"/>
      <x:c r="D6" s="15" t="n">
        <x:v>0</x:v>
      </x:c>
      <x:c r="E6" s="15" t="n">
        <x:v>0</x:v>
      </x:c>
      <x:c r="F6" s="15" t="n">
        <x:v>0</x:v>
      </x:c>
      <x:c r="G6" s="15" t="n">
        <x:v>0</x:v>
      </x:c>
      <x:c r="H6" s="15" t="n">
        <x:f>AVERAGE(D6:G6)</x:f>
        <x:v>0</x:v>
      </x:c>
    </x:row>
    <x:row r="7">
      <x:c r="A7" t="n">
        <x:v>4</x:v>
      </x:c>
      <x:c r="B7" t="str">
        <x:v>Multicast + CoS</x:v>
      </x:c>
      <x:c r="C7" s="1"/>
      <x:c r="D7" s="15" t="n">
        <x:v>0</x:v>
      </x:c>
      <x:c r="E7" s="15" t="n">
        <x:v>0</x:v>
      </x:c>
      <x:c r="F7" s="15" t="n">
        <x:v>0</x:v>
      </x:c>
      <x:c r="G7" s="15" t="n">
        <x:v>0</x:v>
      </x:c>
      <x:c r="H7" s="15" t="n">
        <x:f>AVERAGE(D7:G7)</x:f>
        <x:v>0</x:v>
      </x:c>
    </x:row>
    <x:row r="8">
      <x:c r="A8" t="n">
        <x:v>5</x:v>
      </x:c>
      <x:c r="B8" t="str">
        <x:v>8-hour Mock Exam 1</x:v>
      </x:c>
      <x:c r="C8" s="1"/>
      <x:c r="D8" s="15" t="n">
        <x:v>0</x:v>
      </x:c>
      <x:c r="E8" s="15" t="n">
        <x:v>0</x:v>
      </x:c>
      <x:c r="F8" s="15" t="n">
        <x:v>0</x:v>
      </x:c>
      <x:c r="G8" s="15" t="n">
        <x:v>0</x:v>
      </x:c>
      <x:c r="H8" s="15" t="n">
        <x:f>AVERAGE(D8:G8)</x:f>
        <x:v>0</x:v>
      </x:c>
    </x:row>
    <x:row r="9">
      <x:c r="A9" t="n">
        <x:v>6</x:v>
      </x:c>
      <x:c r="B9" t="str">
        <x:v>8-hour Mock Exam 2</x:v>
      </x:c>
      <x:c r="C9" s="1"/>
      <x:c r="D9" s="15" t="n">
        <x:v>0</x:v>
      </x:c>
      <x:c r="E9" s="15" t="n">
        <x:v>0</x:v>
      </x:c>
      <x:c r="F9" s="15" t="n">
        <x:v>0</x:v>
      </x:c>
      <x:c r="G9" s="15" t="n">
        <x:v>0</x:v>
      </x:c>
      <x:c r="H9" s="15" t="n">
        <x:f>AVERAGE(D9:G9)</x:f>
        <x:v>0</x:v>
      </x:c>
    </x:row>
    <x:row r="10">
      <x:c r="A10" t="n">
        <x:v>7</x:v>
      </x:c>
      <x:c r="B10" t="str">
        <x:v>Blind Troubleshooting 1</x:v>
      </x:c>
      <x:c r="C10" s="1"/>
      <x:c r="D10" s="15" t="n">
        <x:v>0</x:v>
      </x:c>
      <x:c r="E10" s="15" t="n">
        <x:v>0</x:v>
      </x:c>
      <x:c r="F10" s="15" t="n">
        <x:v>0</x:v>
      </x:c>
      <x:c r="G10" s="15" t="n">
        <x:v>0</x:v>
      </x:c>
      <x:c r="H10" s="15" t="n">
        <x:f>AVERAGE(D10:G10)</x:f>
        <x:v>0</x:v>
      </x:c>
    </x:row>
    <x:row r="11">
      <x:c r="A11" t="n">
        <x:v>8</x:v>
      </x:c>
      <x:c r="B11" t="str">
        <x:v>Blind Troubleshooting 2</x:v>
      </x:c>
      <x:c r="C11" s="1"/>
      <x:c r="D11" s="15" t="n">
        <x:v>0</x:v>
      </x:c>
      <x:c r="E11" s="15" t="n">
        <x:v>0</x:v>
      </x:c>
      <x:c r="F11" s="15" t="n">
        <x:v>0</x:v>
      </x:c>
      <x:c r="G11" s="15" t="n">
        <x:v>0</x:v>
      </x:c>
      <x:c r="H11" s="15" t="n">
        <x:f>AVERAGE(D11:G11)</x:f>
        <x:v>0</x:v>
      </x:c>
    </x:row>
    <x:row r="14">
      <x:c r="A14" s="67" t="str">
        <x:v>Pass gate: ≥80% overall, no critical reachability/isolation defect, and every change backed by pre-check, verification, and rollback.</x:v>
      </x:c>
      <x:c r="B14" s="67"/>
      <x:c r="C14" s="67"/>
      <x:c r="D14" s="67"/>
      <x:c r="E14" s="67"/>
      <x:c r="F14" s="67"/>
      <x:c r="G14" s="67"/>
      <x:c r="H14" s="67"/>
    </x:row>
  </x:sheetData>
  <x:mergeCells>
    <x:mergeCell ref="A1:H1"/>
    <x:mergeCell ref="A14:H14"/>
  </x:mergeCells>
  <x:conditionalFormatting sqref="H4:H11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1">
    <x:dataValidation type="decimal" operator="between" sqref="D4:G11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3ae4b164d2946f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16" hidden="0" customWidth="1"/>
  </x:cols>
  <x:sheetData>
    <x:row r="1">
      <x:c r="A1" t="str">
        <x:v>Date</x:v>
      </x:c>
      <x:c r="B1" t="str">
        <x:v>Lab ID</x:v>
      </x:c>
      <x:c r="C1" t="str">
        <x:v>Minutes</x:v>
      </x:c>
      <x:c r="D1" t="str">
        <x:v>Mode</x:v>
      </x:c>
      <x:c r="E1" t="str">
        <x:v>Result</x:v>
      </x:c>
      <x:c r="F1" t="str">
        <x:v>Fault / Gap Found</x:v>
      </x:c>
      <x:c r="G1" t="str">
        <x:v>Root Cause</x:v>
      </x:c>
      <x:c r="H1" t="str">
        <x:v>Next Action</x:v>
      </x:c>
      <x:c r="I1" t="str">
        <x:v>Evidence Link</x:v>
      </x:c>
      <x:c r="J1" t="str">
        <x:v>Revisit Date</x:v>
      </x:c>
    </x:row>
    <x:row r="2">
      <x:c r="A2" s="1"/>
      <x:c r="B2" t="str"/>
      <x:c r="C2"/>
      <x:c r="D2" t="str">
        <x:v>Build</x:v>
      </x:c>
      <x:c r="E2" t="str"/>
      <x:c r="F2" t="str"/>
      <x:c r="G2" t="str"/>
      <x:c r="H2" t="str"/>
      <x:c r="I2" t="str"/>
      <x:c r="J2" s="1"/>
    </x:row>
    <x:row r="3">
      <x:c r="A3" s="1"/>
      <x:c r="B3" t="str"/>
      <x:c r="C3"/>
      <x:c r="D3" t="str">
        <x:v>Build</x:v>
      </x:c>
      <x:c r="E3" t="str"/>
      <x:c r="F3" t="str"/>
      <x:c r="G3" t="str"/>
      <x:c r="H3" t="str"/>
      <x:c r="I3" t="str"/>
      <x:c r="J3" s="1"/>
    </x:row>
    <x:row r="4">
      <x:c r="A4" s="1"/>
      <x:c r="B4" t="str"/>
      <x:c r="C4"/>
      <x:c r="D4" t="str">
        <x:v>Build</x:v>
      </x:c>
      <x:c r="E4" t="str"/>
      <x:c r="F4" t="str"/>
      <x:c r="G4" t="str"/>
      <x:c r="H4" t="str"/>
      <x:c r="I4" t="str"/>
      <x:c r="J4" s="1"/>
    </x:row>
    <x:row r="5">
      <x:c r="A5" s="1"/>
      <x:c r="B5" t="str"/>
      <x:c r="C5"/>
      <x:c r="D5" t="str">
        <x:v>Build</x:v>
      </x:c>
      <x:c r="E5" t="str"/>
      <x:c r="F5" t="str"/>
      <x:c r="G5" t="str"/>
      <x:c r="H5" t="str"/>
      <x:c r="I5" t="str"/>
      <x:c r="J5" s="1"/>
    </x:row>
    <x:row r="6">
      <x:c r="A6" s="1"/>
      <x:c r="B6" t="str"/>
      <x:c r="C6"/>
      <x:c r="D6" t="str">
        <x:v>Build</x:v>
      </x:c>
      <x:c r="E6" t="str"/>
      <x:c r="F6" t="str"/>
      <x:c r="G6" t="str"/>
      <x:c r="H6" t="str"/>
      <x:c r="I6" t="str"/>
      <x:c r="J6" s="1"/>
    </x:row>
    <x:row r="7">
      <x:c r="A7" s="1"/>
      <x:c r="B7" t="str"/>
      <x:c r="C7"/>
      <x:c r="D7" t="str">
        <x:v>Build</x:v>
      </x:c>
      <x:c r="E7" t="str"/>
      <x:c r="F7" t="str"/>
      <x:c r="G7" t="str"/>
      <x:c r="H7" t="str"/>
      <x:c r="I7" t="str"/>
      <x:c r="J7" s="1"/>
    </x:row>
    <x:row r="8">
      <x:c r="A8" s="1"/>
      <x:c r="B8" t="str"/>
      <x:c r="C8"/>
      <x:c r="D8" t="str">
        <x:v>Build</x:v>
      </x:c>
      <x:c r="E8" t="str"/>
      <x:c r="F8" t="str"/>
      <x:c r="G8" t="str"/>
      <x:c r="H8" t="str"/>
      <x:c r="I8" t="str"/>
      <x:c r="J8" s="1"/>
    </x:row>
    <x:row r="9">
      <x:c r="A9" s="1"/>
      <x:c r="B9" t="str"/>
      <x:c r="C9"/>
      <x:c r="D9" t="str">
        <x:v>Build</x:v>
      </x:c>
      <x:c r="E9" t="str"/>
      <x:c r="F9" t="str"/>
      <x:c r="G9" t="str"/>
      <x:c r="H9" t="str"/>
      <x:c r="I9" t="str"/>
      <x:c r="J9" s="1"/>
    </x:row>
    <x:row r="10">
      <x:c r="A10" s="1"/>
      <x:c r="B10" t="str"/>
      <x:c r="C10"/>
      <x:c r="D10" t="str">
        <x:v>Build</x:v>
      </x:c>
      <x:c r="E10" t="str"/>
      <x:c r="F10" t="str"/>
      <x:c r="G10" t="str"/>
      <x:c r="H10" t="str"/>
      <x:c r="I10" t="str"/>
      <x:c r="J10" s="1"/>
    </x:row>
    <x:row r="11">
      <x:c r="A11" s="1"/>
      <x:c r="B11" t="str"/>
      <x:c r="C11"/>
      <x:c r="D11" t="str">
        <x:v>Build</x:v>
      </x:c>
      <x:c r="E11" t="str"/>
      <x:c r="F11" t="str"/>
      <x:c r="G11" t="str"/>
      <x:c r="H11" t="str"/>
      <x:c r="I11" t="str"/>
      <x:c r="J11" s="1"/>
    </x:row>
    <x:row r="12">
      <x:c r="A12" s="1"/>
      <x:c r="B12" t="str"/>
      <x:c r="C12"/>
      <x:c r="D12" t="str">
        <x:v>Build</x:v>
      </x:c>
      <x:c r="E12" t="str"/>
      <x:c r="F12" t="str"/>
      <x:c r="G12" t="str"/>
      <x:c r="H12" t="str"/>
      <x:c r="I12" t="str"/>
      <x:c r="J12" s="1"/>
    </x:row>
    <x:row r="13">
      <x:c r="A13" s="1"/>
      <x:c r="B13" t="str"/>
      <x:c r="C13"/>
      <x:c r="D13" t="str">
        <x:v>Build</x:v>
      </x:c>
      <x:c r="E13" t="str"/>
      <x:c r="F13" t="str"/>
      <x:c r="G13" t="str"/>
      <x:c r="H13" t="str"/>
      <x:c r="I13" t="str"/>
      <x:c r="J13" s="1"/>
    </x:row>
    <x:row r="14">
      <x:c r="A14" s="1"/>
      <x:c r="B14" t="str"/>
      <x:c r="C14"/>
      <x:c r="D14" t="str">
        <x:v>Build</x:v>
      </x:c>
      <x:c r="E14" t="str"/>
      <x:c r="F14" t="str"/>
      <x:c r="G14" t="str"/>
      <x:c r="H14" t="str"/>
      <x:c r="I14" t="str"/>
      <x:c r="J14" s="1"/>
    </x:row>
    <x:row r="15">
      <x:c r="A15" s="1"/>
      <x:c r="B15" t="str"/>
      <x:c r="C15"/>
      <x:c r="D15" t="str">
        <x:v>Build</x:v>
      </x:c>
      <x:c r="E15" t="str"/>
      <x:c r="F15" t="str"/>
      <x:c r="G15" t="str"/>
      <x:c r="H15" t="str"/>
      <x:c r="I15" t="str"/>
      <x:c r="J15" s="1"/>
    </x:row>
    <x:row r="16">
      <x:c r="A16" s="1"/>
      <x:c r="B16" t="str"/>
      <x:c r="C16"/>
      <x:c r="D16" t="str">
        <x:v>Build</x:v>
      </x:c>
      <x:c r="E16" t="str"/>
      <x:c r="F16" t="str"/>
      <x:c r="G16" t="str"/>
      <x:c r="H16" t="str"/>
      <x:c r="I16" t="str"/>
      <x:c r="J16" s="1"/>
    </x:row>
    <x:row r="17">
      <x:c r="A17" s="1"/>
      <x:c r="B17" t="str"/>
      <x:c r="C17"/>
      <x:c r="D17" t="str">
        <x:v>Build</x:v>
      </x:c>
      <x:c r="E17" t="str"/>
      <x:c r="F17" t="str"/>
      <x:c r="G17" t="str"/>
      <x:c r="H17" t="str"/>
      <x:c r="I17" t="str"/>
      <x:c r="J17" s="1"/>
    </x:row>
    <x:row r="18">
      <x:c r="A18" s="1"/>
      <x:c r="B18" t="str"/>
      <x:c r="C18"/>
      <x:c r="D18" t="str">
        <x:v>Build</x:v>
      </x:c>
      <x:c r="E18" t="str"/>
      <x:c r="F18" t="str"/>
      <x:c r="G18" t="str"/>
      <x:c r="H18" t="str"/>
      <x:c r="I18" t="str"/>
      <x:c r="J18" s="1"/>
    </x:row>
    <x:row r="19">
      <x:c r="A19" s="1"/>
      <x:c r="B19" t="str"/>
      <x:c r="C19"/>
      <x:c r="D19" t="str">
        <x:v>Build</x:v>
      </x:c>
      <x:c r="E19" t="str"/>
      <x:c r="F19" t="str"/>
      <x:c r="G19" t="str"/>
      <x:c r="H19" t="str"/>
      <x:c r="I19" t="str"/>
      <x:c r="J19" s="1"/>
    </x:row>
    <x:row r="20">
      <x:c r="A20" s="1"/>
      <x:c r="B20" t="str"/>
      <x:c r="C20"/>
      <x:c r="D20" t="str">
        <x:v>Build</x:v>
      </x:c>
      <x:c r="E20" t="str"/>
      <x:c r="F20" t="str"/>
      <x:c r="G20" t="str"/>
      <x:c r="H20" t="str"/>
      <x:c r="I20" t="str"/>
      <x:c r="J20" s="1"/>
    </x:row>
    <x:row r="21">
      <x:c r="A21" s="1"/>
      <x:c r="B21" t="str"/>
      <x:c r="C21"/>
      <x:c r="D21" t="str">
        <x:v>Build</x:v>
      </x:c>
      <x:c r="E21" t="str"/>
      <x:c r="F21" t="str"/>
      <x:c r="G21" t="str"/>
      <x:c r="H21" t="str"/>
      <x:c r="I21" t="str"/>
      <x:c r="J21" s="1"/>
    </x:row>
    <x:row r="22">
      <x:c r="A22" s="1"/>
      <x:c r="B22" t="str"/>
      <x:c r="C22"/>
      <x:c r="D22" t="str">
        <x:v>Build</x:v>
      </x:c>
      <x:c r="E22" t="str"/>
      <x:c r="F22" t="str"/>
      <x:c r="G22" t="str"/>
      <x:c r="H22" t="str"/>
      <x:c r="I22" t="str"/>
      <x:c r="J22" s="1"/>
    </x:row>
    <x:row r="23">
      <x:c r="A23" s="1"/>
      <x:c r="B23" t="str"/>
      <x:c r="C23"/>
      <x:c r="D23" t="str">
        <x:v>Build</x:v>
      </x:c>
      <x:c r="E23" t="str"/>
      <x:c r="F23" t="str"/>
      <x:c r="G23" t="str"/>
      <x:c r="H23" t="str"/>
      <x:c r="I23" t="str"/>
      <x:c r="J23" s="1"/>
    </x:row>
    <x:row r="24">
      <x:c r="A24" s="1"/>
      <x:c r="B24" t="str"/>
      <x:c r="C24"/>
      <x:c r="D24" t="str">
        <x:v>Build</x:v>
      </x:c>
      <x:c r="E24" t="str"/>
      <x:c r="F24" t="str"/>
      <x:c r="G24" t="str"/>
      <x:c r="H24" t="str"/>
      <x:c r="I24" t="str"/>
      <x:c r="J24" s="1"/>
    </x:row>
    <x:row r="25">
      <x:c r="A25" s="1"/>
      <x:c r="B25" t="str"/>
      <x:c r="C25"/>
      <x:c r="D25" t="str">
        <x:v>Build</x:v>
      </x:c>
      <x:c r="E25" t="str"/>
      <x:c r="F25" t="str"/>
      <x:c r="G25" t="str"/>
      <x:c r="H25" t="str"/>
      <x:c r="I25" t="str"/>
      <x:c r="J25" s="1"/>
    </x:row>
    <x:row r="26">
      <x:c r="A26" s="1"/>
      <x:c r="B26" t="str"/>
      <x:c r="C26"/>
      <x:c r="D26" t="str">
        <x:v>Build</x:v>
      </x:c>
      <x:c r="E26" t="str"/>
      <x:c r="F26" t="str"/>
      <x:c r="G26" t="str"/>
      <x:c r="H26" t="str"/>
      <x:c r="I26" t="str"/>
      <x:c r="J26" s="1"/>
    </x:row>
    <x:row r="27">
      <x:c r="A27" s="1"/>
      <x:c r="B27" t="str"/>
      <x:c r="C27"/>
      <x:c r="D27" t="str">
        <x:v>Build</x:v>
      </x:c>
      <x:c r="E27" t="str"/>
      <x:c r="F27" t="str"/>
      <x:c r="G27" t="str"/>
      <x:c r="H27" t="str"/>
      <x:c r="I27" t="str"/>
      <x:c r="J27" s="1"/>
    </x:row>
    <x:row r="28">
      <x:c r="A28" s="1"/>
      <x:c r="B28" t="str"/>
      <x:c r="C28"/>
      <x:c r="D28" t="str">
        <x:v>Build</x:v>
      </x:c>
      <x:c r="E28" t="str"/>
      <x:c r="F28" t="str"/>
      <x:c r="G28" t="str"/>
      <x:c r="H28" t="str"/>
      <x:c r="I28" t="str"/>
      <x:c r="J28" s="1"/>
    </x:row>
    <x:row r="29">
      <x:c r="A29" s="1"/>
      <x:c r="B29" t="str"/>
      <x:c r="C29"/>
      <x:c r="D29" t="str">
        <x:v>Build</x:v>
      </x:c>
      <x:c r="E29" t="str"/>
      <x:c r="F29" t="str"/>
      <x:c r="G29" t="str"/>
      <x:c r="H29" t="str"/>
      <x:c r="I29" t="str"/>
      <x:c r="J29" s="1"/>
    </x:row>
    <x:row r="30">
      <x:c r="A30" s="1"/>
      <x:c r="B30" t="str"/>
      <x:c r="C30"/>
      <x:c r="D30" t="str">
        <x:v>Build</x:v>
      </x:c>
      <x:c r="E30" t="str"/>
      <x:c r="F30" t="str"/>
      <x:c r="G30" t="str"/>
      <x:c r="H30" t="str"/>
      <x:c r="I30" t="str"/>
      <x:c r="J30" s="1"/>
    </x:row>
    <x:row r="31">
      <x:c r="A31" s="1"/>
      <x:c r="B31" t="str"/>
      <x:c r="C31"/>
      <x:c r="D31" t="str">
        <x:v>Build</x:v>
      </x:c>
      <x:c r="E31" t="str"/>
      <x:c r="F31" t="str"/>
      <x:c r="G31" t="str"/>
      <x:c r="H31" t="str"/>
      <x:c r="I31" t="str"/>
      <x:c r="J31" s="1"/>
    </x:row>
    <x:row r="32">
      <x:c r="A32" s="1"/>
      <x:c r="B32" t="str"/>
      <x:c r="C32"/>
      <x:c r="D32" t="str">
        <x:v>Build</x:v>
      </x:c>
      <x:c r="E32" t="str"/>
      <x:c r="F32" t="str"/>
      <x:c r="G32" t="str"/>
      <x:c r="H32" t="str"/>
      <x:c r="I32" t="str"/>
      <x:c r="J32" s="1"/>
    </x:row>
    <x:row r="33">
      <x:c r="A33" s="1"/>
      <x:c r="B33" t="str"/>
      <x:c r="C33"/>
      <x:c r="D33" t="str">
        <x:v>Build</x:v>
      </x:c>
      <x:c r="E33" t="str"/>
      <x:c r="F33" t="str"/>
      <x:c r="G33" t="str"/>
      <x:c r="H33" t="str"/>
      <x:c r="I33" t="str"/>
      <x:c r="J33" s="1"/>
    </x:row>
    <x:row r="34">
      <x:c r="A34" s="1"/>
      <x:c r="B34" t="str"/>
      <x:c r="C34"/>
      <x:c r="D34" t="str">
        <x:v>Build</x:v>
      </x:c>
      <x:c r="E34" t="str"/>
      <x:c r="F34" t="str"/>
      <x:c r="G34" t="str"/>
      <x:c r="H34" t="str"/>
      <x:c r="I34" t="str"/>
      <x:c r="J34" s="1"/>
    </x:row>
    <x:row r="35">
      <x:c r="A35" s="1"/>
      <x:c r="B35" t="str"/>
      <x:c r="C35"/>
      <x:c r="D35" t="str">
        <x:v>Build</x:v>
      </x:c>
      <x:c r="E35" t="str"/>
      <x:c r="F35" t="str"/>
      <x:c r="G35" t="str"/>
      <x:c r="H35" t="str"/>
      <x:c r="I35" t="str"/>
      <x:c r="J35" s="1"/>
    </x:row>
    <x:row r="36">
      <x:c r="A36" s="1"/>
      <x:c r="B36" t="str"/>
      <x:c r="C36"/>
      <x:c r="D36" t="str">
        <x:v>Build</x:v>
      </x:c>
      <x:c r="E36" t="str"/>
      <x:c r="F36" t="str"/>
      <x:c r="G36" t="str"/>
      <x:c r="H36" t="str"/>
      <x:c r="I36" t="str"/>
      <x:c r="J36" s="1"/>
    </x:row>
    <x:row r="37">
      <x:c r="A37" s="1"/>
      <x:c r="B37" t="str"/>
      <x:c r="C37"/>
      <x:c r="D37" t="str">
        <x:v>Build</x:v>
      </x:c>
      <x:c r="E37" t="str"/>
      <x:c r="F37" t="str"/>
      <x:c r="G37" t="str"/>
      <x:c r="H37" t="str"/>
      <x:c r="I37" t="str"/>
      <x:c r="J37" s="1"/>
    </x:row>
    <x:row r="38">
      <x:c r="A38" s="1"/>
      <x:c r="B38" t="str"/>
      <x:c r="C38"/>
      <x:c r="D38" t="str">
        <x:v>Build</x:v>
      </x:c>
      <x:c r="E38" t="str"/>
      <x:c r="F38" t="str"/>
      <x:c r="G38" t="str"/>
      <x:c r="H38" t="str"/>
      <x:c r="I38" t="str"/>
      <x:c r="J38" s="1"/>
    </x:row>
    <x:row r="39">
      <x:c r="A39" s="1"/>
      <x:c r="B39" t="str"/>
      <x:c r="C39"/>
      <x:c r="D39" t="str">
        <x:v>Build</x:v>
      </x:c>
      <x:c r="E39" t="str"/>
      <x:c r="F39" t="str"/>
      <x:c r="G39" t="str"/>
      <x:c r="H39" t="str"/>
      <x:c r="I39" t="str"/>
      <x:c r="J39" s="1"/>
    </x:row>
    <x:row r="40">
      <x:c r="A40" s="1"/>
      <x:c r="B40" t="str"/>
      <x:c r="C40"/>
      <x:c r="D40" t="str">
        <x:v>Build</x:v>
      </x:c>
      <x:c r="E40" t="str"/>
      <x:c r="F40" t="str"/>
      <x:c r="G40" t="str"/>
      <x:c r="H40" t="str"/>
      <x:c r="I40" t="str"/>
      <x:c r="J40" s="1"/>
    </x:row>
    <x:row r="41">
      <x:c r="A41" s="1"/>
      <x:c r="B41" t="str"/>
      <x:c r="C41"/>
      <x:c r="D41" t="str">
        <x:v>Build</x:v>
      </x:c>
      <x:c r="E41" t="str"/>
      <x:c r="F41" t="str"/>
      <x:c r="G41" t="str"/>
      <x:c r="H41" t="str"/>
      <x:c r="I41" t="str"/>
      <x:c r="J41" s="1"/>
    </x:row>
    <x:row r="42">
      <x:c r="A42" s="1"/>
      <x:c r="B42" t="str"/>
      <x:c r="C42"/>
      <x:c r="D42" t="str">
        <x:v>Build</x:v>
      </x:c>
      <x:c r="E42" t="str"/>
      <x:c r="F42" t="str"/>
      <x:c r="G42" t="str"/>
      <x:c r="H42" t="str"/>
      <x:c r="I42" t="str"/>
      <x:c r="J42" s="1"/>
    </x:row>
    <x:row r="43">
      <x:c r="A43" s="1"/>
      <x:c r="B43" t="str"/>
      <x:c r="C43"/>
      <x:c r="D43" t="str">
        <x:v>Build</x:v>
      </x:c>
      <x:c r="E43" t="str"/>
      <x:c r="F43" t="str"/>
      <x:c r="G43" t="str"/>
      <x:c r="H43" t="str"/>
      <x:c r="I43" t="str"/>
      <x:c r="J43" s="1"/>
    </x:row>
    <x:row r="44">
      <x:c r="A44" s="1"/>
      <x:c r="B44" t="str"/>
      <x:c r="C44"/>
      <x:c r="D44" t="str">
        <x:v>Build</x:v>
      </x:c>
      <x:c r="E44" t="str"/>
      <x:c r="F44" t="str"/>
      <x:c r="G44" t="str"/>
      <x:c r="H44" t="str"/>
      <x:c r="I44" t="str"/>
      <x:c r="J44" s="1"/>
    </x:row>
    <x:row r="45">
      <x:c r="A45" s="1"/>
      <x:c r="B45" t="str"/>
      <x:c r="C45"/>
      <x:c r="D45" t="str">
        <x:v>Build</x:v>
      </x:c>
      <x:c r="E45" t="str"/>
      <x:c r="F45" t="str"/>
      <x:c r="G45" t="str"/>
      <x:c r="H45" t="str"/>
      <x:c r="I45" t="str"/>
      <x:c r="J45" s="1"/>
    </x:row>
    <x:row r="46">
      <x:c r="A46" s="1"/>
      <x:c r="B46" t="str"/>
      <x:c r="C46"/>
      <x:c r="D46" t="str">
        <x:v>Build</x:v>
      </x:c>
      <x:c r="E46" t="str"/>
      <x:c r="F46" t="str"/>
      <x:c r="G46" t="str"/>
      <x:c r="H46" t="str"/>
      <x:c r="I46" t="str"/>
      <x:c r="J46" s="1"/>
    </x:row>
    <x:row r="47">
      <x:c r="A47" s="1"/>
      <x:c r="B47" t="str"/>
      <x:c r="C47"/>
      <x:c r="D47" t="str">
        <x:v>Build</x:v>
      </x:c>
      <x:c r="E47" t="str"/>
      <x:c r="F47" t="str"/>
      <x:c r="G47" t="str"/>
      <x:c r="H47" t="str"/>
      <x:c r="I47" t="str"/>
      <x:c r="J47" s="1"/>
    </x:row>
    <x:row r="48">
      <x:c r="A48" s="1"/>
      <x:c r="B48" t="str"/>
      <x:c r="C48"/>
      <x:c r="D48" t="str">
        <x:v>Build</x:v>
      </x:c>
      <x:c r="E48" t="str"/>
      <x:c r="F48" t="str"/>
      <x:c r="G48" t="str"/>
      <x:c r="H48" t="str"/>
      <x:c r="I48" t="str"/>
      <x:c r="J48" s="1"/>
    </x:row>
    <x:row r="49">
      <x:c r="A49" s="1"/>
      <x:c r="B49" t="str"/>
      <x:c r="C49"/>
      <x:c r="D49" t="str">
        <x:v>Build</x:v>
      </x:c>
      <x:c r="E49" t="str"/>
      <x:c r="F49" t="str"/>
      <x:c r="G49" t="str"/>
      <x:c r="H49" t="str"/>
      <x:c r="I49" t="str"/>
      <x:c r="J49" s="1"/>
    </x:row>
    <x:row r="50">
      <x:c r="A50" s="1"/>
      <x:c r="B50" t="str"/>
      <x:c r="C50"/>
      <x:c r="D50" t="str">
        <x:v>Build</x:v>
      </x:c>
      <x:c r="E50" t="str"/>
      <x:c r="F50" t="str"/>
      <x:c r="G50" t="str"/>
      <x:c r="H50" t="str"/>
      <x:c r="I50" t="str"/>
      <x:c r="J50" s="1"/>
    </x:row>
    <x:row r="51">
      <x:c r="A51" s="1"/>
      <x:c r="B51" t="str"/>
      <x:c r="C51"/>
      <x:c r="D51" t="str">
        <x:v>Build</x:v>
      </x:c>
      <x:c r="E51" t="str"/>
      <x:c r="F51" t="str"/>
      <x:c r="G51" t="str"/>
      <x:c r="H51" t="str"/>
      <x:c r="I51" t="str"/>
      <x:c r="J51" s="1"/>
    </x:row>
    <x:row r="52">
      <x:c r="A52" s="1"/>
      <x:c r="B52" t="str"/>
      <x:c r="C52"/>
      <x:c r="D52" t="str">
        <x:v>Build</x:v>
      </x:c>
      <x:c r="E52" t="str"/>
      <x:c r="F52" t="str"/>
      <x:c r="G52" t="str"/>
      <x:c r="H52" t="str"/>
      <x:c r="I52" t="str"/>
      <x:c r="J52" s="1"/>
    </x:row>
    <x:row r="53">
      <x:c r="A53" s="1"/>
      <x:c r="B53" t="str"/>
      <x:c r="C53"/>
      <x:c r="D53" t="str">
        <x:v>Build</x:v>
      </x:c>
      <x:c r="E53" t="str"/>
      <x:c r="F53" t="str"/>
      <x:c r="G53" t="str"/>
      <x:c r="H53" t="str"/>
      <x:c r="I53" t="str"/>
      <x:c r="J53" s="1"/>
    </x:row>
    <x:row r="54">
      <x:c r="A54" s="1"/>
      <x:c r="B54" t="str"/>
      <x:c r="C54"/>
      <x:c r="D54" t="str">
        <x:v>Build</x:v>
      </x:c>
      <x:c r="E54" t="str"/>
      <x:c r="F54" t="str"/>
      <x:c r="G54" t="str"/>
      <x:c r="H54" t="str"/>
      <x:c r="I54" t="str"/>
      <x:c r="J54" s="1"/>
    </x:row>
    <x:row r="55">
      <x:c r="A55" s="1"/>
      <x:c r="B55" t="str"/>
      <x:c r="C55"/>
      <x:c r="D55" t="str">
        <x:v>Build</x:v>
      </x:c>
      <x:c r="E55" t="str"/>
      <x:c r="F55" t="str"/>
      <x:c r="G55" t="str"/>
      <x:c r="H55" t="str"/>
      <x:c r="I55" t="str"/>
      <x:c r="J55" s="1"/>
    </x:row>
    <x:row r="56">
      <x:c r="A56" s="1"/>
      <x:c r="B56" t="str"/>
      <x:c r="C56"/>
      <x:c r="D56" t="str">
        <x:v>Build</x:v>
      </x:c>
      <x:c r="E56" t="str"/>
      <x:c r="F56" t="str"/>
      <x:c r="G56" t="str"/>
      <x:c r="H56" t="str"/>
      <x:c r="I56" t="str"/>
      <x:c r="J56" s="1"/>
    </x:row>
    <x:row r="57">
      <x:c r="A57" s="1"/>
      <x:c r="B57" t="str"/>
      <x:c r="C57"/>
      <x:c r="D57" t="str">
        <x:v>Build</x:v>
      </x:c>
      <x:c r="E57" t="str"/>
      <x:c r="F57" t="str"/>
      <x:c r="G57" t="str"/>
      <x:c r="H57" t="str"/>
      <x:c r="I57" t="str"/>
      <x:c r="J57" s="1"/>
    </x:row>
    <x:row r="58">
      <x:c r="A58" s="1"/>
      <x:c r="B58" t="str"/>
      <x:c r="C58"/>
      <x:c r="D58" t="str">
        <x:v>Build</x:v>
      </x:c>
      <x:c r="E58" t="str"/>
      <x:c r="F58" t="str"/>
      <x:c r="G58" t="str"/>
      <x:c r="H58" t="str"/>
      <x:c r="I58" t="str"/>
      <x:c r="J58" s="1"/>
    </x:row>
    <x:row r="59">
      <x:c r="A59" s="1"/>
      <x:c r="B59" t="str"/>
      <x:c r="C59"/>
      <x:c r="D59" t="str">
        <x:v>Build</x:v>
      </x:c>
      <x:c r="E59" t="str"/>
      <x:c r="F59" t="str"/>
      <x:c r="G59" t="str"/>
      <x:c r="H59" t="str"/>
      <x:c r="I59" t="str"/>
      <x:c r="J59" s="1"/>
    </x:row>
    <x:row r="60">
      <x:c r="A60" s="1"/>
      <x:c r="B60" t="str"/>
      <x:c r="C60"/>
      <x:c r="D60" t="str">
        <x:v>Build</x:v>
      </x:c>
      <x:c r="E60" t="str"/>
      <x:c r="F60" t="str"/>
      <x:c r="G60" t="str"/>
      <x:c r="H60" t="str"/>
      <x:c r="I60" t="str"/>
      <x:c r="J60" s="1"/>
    </x:row>
    <x:row r="61">
      <x:c r="A61" s="1"/>
      <x:c r="B61" t="str"/>
      <x:c r="C61"/>
      <x:c r="D61" t="str">
        <x:v>Build</x:v>
      </x:c>
      <x:c r="E61" t="str"/>
      <x:c r="F61" t="str"/>
      <x:c r="G61" t="str"/>
      <x:c r="H61" t="str"/>
      <x:c r="I61" t="str"/>
      <x:c r="J61" s="1"/>
    </x:row>
    <x:row r="62">
      <x:c r="A62" s="1"/>
      <x:c r="B62" t="str"/>
      <x:c r="C62"/>
      <x:c r="D62" t="str">
        <x:v>Build</x:v>
      </x:c>
      <x:c r="E62" t="str"/>
      <x:c r="F62" t="str"/>
      <x:c r="G62" t="str"/>
      <x:c r="H62" t="str"/>
      <x:c r="I62" t="str"/>
      <x:c r="J62" s="1"/>
    </x:row>
    <x:row r="63">
      <x:c r="A63" s="1"/>
      <x:c r="B63" t="str"/>
      <x:c r="C63"/>
      <x:c r="D63" t="str">
        <x:v>Build</x:v>
      </x:c>
      <x:c r="E63" t="str"/>
      <x:c r="F63" t="str"/>
      <x:c r="G63" t="str"/>
      <x:c r="H63" t="str"/>
      <x:c r="I63" t="str"/>
      <x:c r="J63" s="1"/>
    </x:row>
    <x:row r="64">
      <x:c r="A64" s="1"/>
      <x:c r="B64" t="str"/>
      <x:c r="C64"/>
      <x:c r="D64" t="str">
        <x:v>Build</x:v>
      </x:c>
      <x:c r="E64" t="str"/>
      <x:c r="F64" t="str"/>
      <x:c r="G64" t="str"/>
      <x:c r="H64" t="str"/>
      <x:c r="I64" t="str"/>
      <x:c r="J64" s="1"/>
    </x:row>
    <x:row r="65">
      <x:c r="A65" s="1"/>
      <x:c r="B65" t="str"/>
      <x:c r="C65"/>
      <x:c r="D65" t="str">
        <x:v>Build</x:v>
      </x:c>
      <x:c r="E65" t="str"/>
      <x:c r="F65" t="str"/>
      <x:c r="G65" t="str"/>
      <x:c r="H65" t="str"/>
      <x:c r="I65" t="str"/>
      <x:c r="J65" s="1"/>
    </x:row>
    <x:row r="66">
      <x:c r="A66" s="1"/>
      <x:c r="B66" t="str"/>
      <x:c r="C66"/>
      <x:c r="D66" t="str">
        <x:v>Build</x:v>
      </x:c>
      <x:c r="E66" t="str"/>
      <x:c r="F66" t="str"/>
      <x:c r="G66" t="str"/>
      <x:c r="H66" t="str"/>
      <x:c r="I66" t="str"/>
      <x:c r="J66" s="1"/>
    </x:row>
    <x:row r="67">
      <x:c r="A67" s="1"/>
      <x:c r="B67" t="str"/>
      <x:c r="C67"/>
      <x:c r="D67" t="str">
        <x:v>Build</x:v>
      </x:c>
      <x:c r="E67" t="str"/>
      <x:c r="F67" t="str"/>
      <x:c r="G67" t="str"/>
      <x:c r="H67" t="str"/>
      <x:c r="I67" t="str"/>
      <x:c r="J67" s="1"/>
    </x:row>
    <x:row r="68">
      <x:c r="A68" s="1"/>
      <x:c r="B68" t="str"/>
      <x:c r="C68"/>
      <x:c r="D68" t="str">
        <x:v>Build</x:v>
      </x:c>
      <x:c r="E68" t="str"/>
      <x:c r="F68" t="str"/>
      <x:c r="G68" t="str"/>
      <x:c r="H68" t="str"/>
      <x:c r="I68" t="str"/>
      <x:c r="J68" s="1"/>
    </x:row>
    <x:row r="69">
      <x:c r="A69" s="1"/>
      <x:c r="B69" t="str"/>
      <x:c r="C69"/>
      <x:c r="D69" t="str">
        <x:v>Build</x:v>
      </x:c>
      <x:c r="E69" t="str"/>
      <x:c r="F69" t="str"/>
      <x:c r="G69" t="str"/>
      <x:c r="H69" t="str"/>
      <x:c r="I69" t="str"/>
      <x:c r="J69" s="1"/>
    </x:row>
    <x:row r="70">
      <x:c r="A70" s="1"/>
      <x:c r="B70" t="str"/>
      <x:c r="C70"/>
      <x:c r="D70" t="str">
        <x:v>Build</x:v>
      </x:c>
      <x:c r="E70" t="str"/>
      <x:c r="F70" t="str"/>
      <x:c r="G70" t="str"/>
      <x:c r="H70" t="str"/>
      <x:c r="I70" t="str"/>
      <x:c r="J70" s="1"/>
    </x:row>
    <x:row r="71">
      <x:c r="A71" s="1"/>
      <x:c r="B71" t="str"/>
      <x:c r="C71"/>
      <x:c r="D71" t="str">
        <x:v>Build</x:v>
      </x:c>
      <x:c r="E71" t="str"/>
      <x:c r="F71" t="str"/>
      <x:c r="G71" t="str"/>
      <x:c r="H71" t="str"/>
      <x:c r="I71" t="str"/>
      <x:c r="J71" s="1"/>
    </x:row>
    <x:row r="72">
      <x:c r="A72" s="1"/>
      <x:c r="B72" t="str"/>
      <x:c r="C72"/>
      <x:c r="D72" t="str">
        <x:v>Build</x:v>
      </x:c>
      <x:c r="E72" t="str"/>
      <x:c r="F72" t="str"/>
      <x:c r="G72" t="str"/>
      <x:c r="H72" t="str"/>
      <x:c r="I72" t="str"/>
      <x:c r="J72" s="1"/>
    </x:row>
    <x:row r="73">
      <x:c r="A73" s="1"/>
      <x:c r="B73" t="str"/>
      <x:c r="C73"/>
      <x:c r="D73" t="str">
        <x:v>Build</x:v>
      </x:c>
      <x:c r="E73" t="str"/>
      <x:c r="F73" t="str"/>
      <x:c r="G73" t="str"/>
      <x:c r="H73" t="str"/>
      <x:c r="I73" t="str"/>
      <x:c r="J73" s="1"/>
    </x:row>
    <x:row r="74">
      <x:c r="A74" s="1"/>
      <x:c r="B74" t="str"/>
      <x:c r="C74"/>
      <x:c r="D74" t="str">
        <x:v>Build</x:v>
      </x:c>
      <x:c r="E74" t="str"/>
      <x:c r="F74" t="str"/>
      <x:c r="G74" t="str"/>
      <x:c r="H74" t="str"/>
      <x:c r="I74" t="str"/>
      <x:c r="J74" s="1"/>
    </x:row>
    <x:row r="75">
      <x:c r="A75" s="1"/>
      <x:c r="B75" t="str"/>
      <x:c r="C75"/>
      <x:c r="D75" t="str">
        <x:v>Build</x:v>
      </x:c>
      <x:c r="E75" t="str"/>
      <x:c r="F75" t="str"/>
      <x:c r="G75" t="str"/>
      <x:c r="H75" t="str"/>
      <x:c r="I75" t="str"/>
      <x:c r="J75" s="1"/>
    </x:row>
    <x:row r="76">
      <x:c r="A76" s="1"/>
      <x:c r="B76" t="str"/>
      <x:c r="C76"/>
      <x:c r="D76" t="str">
        <x:v>Build</x:v>
      </x:c>
      <x:c r="E76" t="str"/>
      <x:c r="F76" t="str"/>
      <x:c r="G76" t="str"/>
      <x:c r="H76" t="str"/>
      <x:c r="I76" t="str"/>
      <x:c r="J76" s="1"/>
    </x:row>
    <x:row r="77">
      <x:c r="A77" s="1"/>
      <x:c r="B77" t="str"/>
      <x:c r="C77"/>
      <x:c r="D77" t="str">
        <x:v>Build</x:v>
      </x:c>
      <x:c r="E77" t="str"/>
      <x:c r="F77" t="str"/>
      <x:c r="G77" t="str"/>
      <x:c r="H77" t="str"/>
      <x:c r="I77" t="str"/>
      <x:c r="J77" s="1"/>
    </x:row>
    <x:row r="78">
      <x:c r="A78" s="1"/>
      <x:c r="B78" t="str"/>
      <x:c r="C78"/>
      <x:c r="D78" t="str">
        <x:v>Build</x:v>
      </x:c>
      <x:c r="E78" t="str"/>
      <x:c r="F78" t="str"/>
      <x:c r="G78" t="str"/>
      <x:c r="H78" t="str"/>
      <x:c r="I78" t="str"/>
      <x:c r="J78" s="1"/>
    </x:row>
    <x:row r="79">
      <x:c r="A79" s="1"/>
      <x:c r="B79" t="str"/>
      <x:c r="C79"/>
      <x:c r="D79" t="str">
        <x:v>Build</x:v>
      </x:c>
      <x:c r="E79" t="str"/>
      <x:c r="F79" t="str"/>
      <x:c r="G79" t="str"/>
      <x:c r="H79" t="str"/>
      <x:c r="I79" t="str"/>
      <x:c r="J79" s="1"/>
    </x:row>
    <x:row r="80">
      <x:c r="A80" s="1"/>
      <x:c r="B80" t="str"/>
      <x:c r="C80"/>
      <x:c r="D80" t="str">
        <x:v>Build</x:v>
      </x:c>
      <x:c r="E80" t="str"/>
      <x:c r="F80" t="str"/>
      <x:c r="G80" t="str"/>
      <x:c r="H80" t="str"/>
      <x:c r="I80" t="str"/>
      <x:c r="J80" s="1"/>
    </x:row>
    <x:row r="81">
      <x:c r="A81" s="1"/>
      <x:c r="B81" t="str"/>
      <x:c r="C81"/>
      <x:c r="D81" t="str">
        <x:v>Build</x:v>
      </x:c>
      <x:c r="E81" t="str"/>
      <x:c r="F81" t="str"/>
      <x:c r="G81" t="str"/>
      <x:c r="H81" t="str"/>
      <x:c r="I81" t="str"/>
      <x:c r="J81" s="1"/>
    </x:row>
    <x:row r="82">
      <x:c r="A82" s="1"/>
      <x:c r="B82" t="str"/>
      <x:c r="C82"/>
      <x:c r="D82" t="str">
        <x:v>Build</x:v>
      </x:c>
      <x:c r="E82" t="str"/>
      <x:c r="F82" t="str"/>
      <x:c r="G82" t="str"/>
      <x:c r="H82" t="str"/>
      <x:c r="I82" t="str"/>
      <x:c r="J82" s="1"/>
    </x:row>
    <x:row r="83">
      <x:c r="A83" s="1"/>
      <x:c r="B83" t="str"/>
      <x:c r="C83"/>
      <x:c r="D83" t="str">
        <x:v>Build</x:v>
      </x:c>
      <x:c r="E83" t="str"/>
      <x:c r="F83" t="str"/>
      <x:c r="G83" t="str"/>
      <x:c r="H83" t="str"/>
      <x:c r="I83" t="str"/>
      <x:c r="J83" s="1"/>
    </x:row>
    <x:row r="84">
      <x:c r="A84" s="1"/>
      <x:c r="B84" t="str"/>
      <x:c r="C84"/>
      <x:c r="D84" t="str">
        <x:v>Build</x:v>
      </x:c>
      <x:c r="E84" t="str"/>
      <x:c r="F84" t="str"/>
      <x:c r="G84" t="str"/>
      <x:c r="H84" t="str"/>
      <x:c r="I84" t="str"/>
      <x:c r="J84" s="1"/>
    </x:row>
    <x:row r="85">
      <x:c r="A85" s="1"/>
      <x:c r="B85" t="str"/>
      <x:c r="C85"/>
      <x:c r="D85" t="str">
        <x:v>Build</x:v>
      </x:c>
      <x:c r="E85" t="str"/>
      <x:c r="F85" t="str"/>
      <x:c r="G85" t="str"/>
      <x:c r="H85" t="str"/>
      <x:c r="I85" t="str"/>
      <x:c r="J85" s="1"/>
    </x:row>
    <x:row r="86">
      <x:c r="A86" s="1"/>
      <x:c r="B86" t="str"/>
      <x:c r="C86"/>
      <x:c r="D86" t="str">
        <x:v>Build</x:v>
      </x:c>
      <x:c r="E86" t="str"/>
      <x:c r="F86" t="str"/>
      <x:c r="G86" t="str"/>
      <x:c r="H86" t="str"/>
      <x:c r="I86" t="str"/>
      <x:c r="J86" s="1"/>
    </x:row>
    <x:row r="87">
      <x:c r="A87" s="1"/>
      <x:c r="B87" t="str"/>
      <x:c r="C87"/>
      <x:c r="D87" t="str">
        <x:v>Build</x:v>
      </x:c>
      <x:c r="E87" t="str"/>
      <x:c r="F87" t="str"/>
      <x:c r="G87" t="str"/>
      <x:c r="H87" t="str"/>
      <x:c r="I87" t="str"/>
      <x:c r="J87" s="1"/>
    </x:row>
    <x:row r="88">
      <x:c r="A88" s="1"/>
      <x:c r="B88" t="str"/>
      <x:c r="C88"/>
      <x:c r="D88" t="str">
        <x:v>Build</x:v>
      </x:c>
      <x:c r="E88" t="str"/>
      <x:c r="F88" t="str"/>
      <x:c r="G88" t="str"/>
      <x:c r="H88" t="str"/>
      <x:c r="I88" t="str"/>
      <x:c r="J88" s="1"/>
    </x:row>
    <x:row r="89">
      <x:c r="A89" s="1"/>
      <x:c r="B89" t="str"/>
      <x:c r="C89"/>
      <x:c r="D89" t="str">
        <x:v>Build</x:v>
      </x:c>
      <x:c r="E89" t="str"/>
      <x:c r="F89" t="str"/>
      <x:c r="G89" t="str"/>
      <x:c r="H89" t="str"/>
      <x:c r="I89" t="str"/>
      <x:c r="J89" s="1"/>
    </x:row>
    <x:row r="90">
      <x:c r="A90" s="1"/>
      <x:c r="B90" t="str"/>
      <x:c r="C90"/>
      <x:c r="D90" t="str">
        <x:v>Build</x:v>
      </x:c>
      <x:c r="E90" t="str"/>
      <x:c r="F90" t="str"/>
      <x:c r="G90" t="str"/>
      <x:c r="H90" t="str"/>
      <x:c r="I90" t="str"/>
      <x:c r="J90" s="1"/>
    </x:row>
    <x:row r="91">
      <x:c r="A91" s="1"/>
      <x:c r="B91" t="str"/>
      <x:c r="C91"/>
      <x:c r="D91" t="str">
        <x:v>Build</x:v>
      </x:c>
      <x:c r="E91" t="str"/>
      <x:c r="F91" t="str"/>
      <x:c r="G91" t="str"/>
      <x:c r="H91" t="str"/>
      <x:c r="I91" t="str"/>
      <x:c r="J91" s="1"/>
    </x:row>
    <x:row r="92">
      <x:c r="A92" s="1"/>
      <x:c r="B92" t="str"/>
      <x:c r="C92"/>
      <x:c r="D92" t="str">
        <x:v>Build</x:v>
      </x:c>
      <x:c r="E92" t="str"/>
      <x:c r="F92" t="str"/>
      <x:c r="G92" t="str"/>
      <x:c r="H92" t="str"/>
      <x:c r="I92" t="str"/>
      <x:c r="J92" s="1"/>
    </x:row>
    <x:row r="93">
      <x:c r="A93" s="1"/>
      <x:c r="B93" t="str"/>
      <x:c r="C93"/>
      <x:c r="D93" t="str">
        <x:v>Build</x:v>
      </x:c>
      <x:c r="E93" t="str"/>
      <x:c r="F93" t="str"/>
      <x:c r="G93" t="str"/>
      <x:c r="H93" t="str"/>
      <x:c r="I93" t="str"/>
      <x:c r="J93" s="1"/>
    </x:row>
    <x:row r="94">
      <x:c r="A94" s="1"/>
      <x:c r="B94" t="str"/>
      <x:c r="C94"/>
      <x:c r="D94" t="str">
        <x:v>Build</x:v>
      </x:c>
      <x:c r="E94" t="str"/>
      <x:c r="F94" t="str"/>
      <x:c r="G94" t="str"/>
      <x:c r="H94" t="str"/>
      <x:c r="I94" t="str"/>
      <x:c r="J94" s="1"/>
    </x:row>
    <x:row r="95">
      <x:c r="A95" s="1"/>
      <x:c r="B95" t="str"/>
      <x:c r="C95"/>
      <x:c r="D95" t="str">
        <x:v>Build</x:v>
      </x:c>
      <x:c r="E95" t="str"/>
      <x:c r="F95" t="str"/>
      <x:c r="G95" t="str"/>
      <x:c r="H95" t="str"/>
      <x:c r="I95" t="str"/>
      <x:c r="J95" s="1"/>
    </x:row>
    <x:row r="96">
      <x:c r="A96" s="1"/>
      <x:c r="B96" t="str"/>
      <x:c r="C96"/>
      <x:c r="D96" t="str">
        <x:v>Build</x:v>
      </x:c>
      <x:c r="E96" t="str"/>
      <x:c r="F96" t="str"/>
      <x:c r="G96" t="str"/>
      <x:c r="H96" t="str"/>
      <x:c r="I96" t="str"/>
      <x:c r="J96" s="1"/>
    </x:row>
    <x:row r="97">
      <x:c r="A97" s="1"/>
      <x:c r="B97" t="str"/>
      <x:c r="C97"/>
      <x:c r="D97" t="str">
        <x:v>Build</x:v>
      </x:c>
      <x:c r="E97" t="str"/>
      <x:c r="F97" t="str"/>
      <x:c r="G97" t="str"/>
      <x:c r="H97" t="str"/>
      <x:c r="I97" t="str"/>
      <x:c r="J97" s="1"/>
    </x:row>
    <x:row r="98">
      <x:c r="A98" s="1"/>
      <x:c r="B98" t="str"/>
      <x:c r="C98"/>
      <x:c r="D98" t="str">
        <x:v>Build</x:v>
      </x:c>
      <x:c r="E98" t="str"/>
      <x:c r="F98" t="str"/>
      <x:c r="G98" t="str"/>
      <x:c r="H98" t="str"/>
      <x:c r="I98" t="str"/>
      <x:c r="J98" s="1"/>
    </x:row>
    <x:row r="99">
      <x:c r="A99" s="1"/>
      <x:c r="B99" t="str"/>
      <x:c r="C99"/>
      <x:c r="D99" t="str">
        <x:v>Build</x:v>
      </x:c>
      <x:c r="E99" t="str"/>
      <x:c r="F99" t="str"/>
      <x:c r="G99" t="str"/>
      <x:c r="H99" t="str"/>
      <x:c r="I99" t="str"/>
      <x:c r="J99" s="1"/>
    </x:row>
    <x:row r="100">
      <x:c r="A100" s="1"/>
      <x:c r="B100" t="str"/>
      <x:c r="C100"/>
      <x:c r="D100" t="str">
        <x:v>Build</x:v>
      </x:c>
      <x:c r="E100" t="str"/>
      <x:c r="F100" t="str"/>
      <x:c r="G100" t="str"/>
      <x:c r="H100" t="str"/>
      <x:c r="I100" t="str"/>
      <x:c r="J100" s="1"/>
    </x:row>
    <x:row r="101">
      <x:c r="A101" s="1"/>
      <x:c r="B101" t="str"/>
      <x:c r="C101"/>
      <x:c r="D101" t="str">
        <x:v>Build</x:v>
      </x:c>
      <x:c r="E101" t="str"/>
      <x:c r="F101" t="str"/>
      <x:c r="G101" t="str"/>
      <x:c r="H101" t="str"/>
      <x:c r="I101" t="str"/>
      <x:c r="J101" s="1"/>
    </x:row>
    <x:row r="102">
      <x:c r="A102" s="1"/>
      <x:c r="B102" t="str"/>
      <x:c r="C102"/>
      <x:c r="D102" t="str">
        <x:v>Build</x:v>
      </x:c>
      <x:c r="E102" t="str"/>
      <x:c r="F102" t="str"/>
      <x:c r="G102" t="str"/>
      <x:c r="H102" t="str"/>
      <x:c r="I102" t="str"/>
      <x:c r="J102" s="1"/>
    </x:row>
    <x:row r="103">
      <x:c r="A103" s="1"/>
      <x:c r="B103" t="str"/>
      <x:c r="C103"/>
      <x:c r="D103" t="str">
        <x:v>Build</x:v>
      </x:c>
      <x:c r="E103" t="str"/>
      <x:c r="F103" t="str"/>
      <x:c r="G103" t="str"/>
      <x:c r="H103" t="str"/>
      <x:c r="I103" t="str"/>
      <x:c r="J103" s="1"/>
    </x:row>
    <x:row r="104">
      <x:c r="A104" s="1"/>
      <x:c r="B104" t="str"/>
      <x:c r="C104"/>
      <x:c r="D104" t="str">
        <x:v>Build</x:v>
      </x:c>
      <x:c r="E104" t="str"/>
      <x:c r="F104" t="str"/>
      <x:c r="G104" t="str"/>
      <x:c r="H104" t="str"/>
      <x:c r="I104" t="str"/>
      <x:c r="J104" s="1"/>
    </x:row>
    <x:row r="105">
      <x:c r="A105" s="1"/>
      <x:c r="B105" t="str"/>
      <x:c r="C105"/>
      <x:c r="D105" t="str">
        <x:v>Build</x:v>
      </x:c>
      <x:c r="E105" t="str"/>
      <x:c r="F105" t="str"/>
      <x:c r="G105" t="str"/>
      <x:c r="H105" t="str"/>
      <x:c r="I105" t="str"/>
      <x:c r="J105" s="1"/>
    </x:row>
    <x:row r="106">
      <x:c r="A106" s="1"/>
      <x:c r="B106" t="str"/>
      <x:c r="C106"/>
      <x:c r="D106" t="str">
        <x:v>Build</x:v>
      </x:c>
      <x:c r="E106" t="str"/>
      <x:c r="F106" t="str"/>
      <x:c r="G106" t="str"/>
      <x:c r="H106" t="str"/>
      <x:c r="I106" t="str"/>
      <x:c r="J106" s="1"/>
    </x:row>
    <x:row r="107">
      <x:c r="A107" s="1"/>
      <x:c r="B107" t="str"/>
      <x:c r="C107"/>
      <x:c r="D107" t="str">
        <x:v>Build</x:v>
      </x:c>
      <x:c r="E107" t="str"/>
      <x:c r="F107" t="str"/>
      <x:c r="G107" t="str"/>
      <x:c r="H107" t="str"/>
      <x:c r="I107" t="str"/>
      <x:c r="J107" s="1"/>
    </x:row>
    <x:row r="108">
      <x:c r="A108" s="1"/>
      <x:c r="B108" t="str"/>
      <x:c r="C108"/>
      <x:c r="D108" t="str">
        <x:v>Build</x:v>
      </x:c>
      <x:c r="E108" t="str"/>
      <x:c r="F108" t="str"/>
      <x:c r="G108" t="str"/>
      <x:c r="H108" t="str"/>
      <x:c r="I108" t="str"/>
      <x:c r="J108" s="1"/>
    </x:row>
    <x:row r="109">
      <x:c r="A109" s="1"/>
      <x:c r="B109" t="str"/>
      <x:c r="C109"/>
      <x:c r="D109" t="str">
        <x:v>Build</x:v>
      </x:c>
      <x:c r="E109" t="str"/>
      <x:c r="F109" t="str"/>
      <x:c r="G109" t="str"/>
      <x:c r="H109" t="str"/>
      <x:c r="I109" t="str"/>
      <x:c r="J109" s="1"/>
    </x:row>
    <x:row r="110">
      <x:c r="A110" s="1"/>
      <x:c r="B110" t="str"/>
      <x:c r="C110"/>
      <x:c r="D110" t="str">
        <x:v>Build</x:v>
      </x:c>
      <x:c r="E110" t="str"/>
      <x:c r="F110" t="str"/>
      <x:c r="G110" t="str"/>
      <x:c r="H110" t="str"/>
      <x:c r="I110" t="str"/>
      <x:c r="J110" s="1"/>
    </x:row>
    <x:row r="111">
      <x:c r="A111" s="1"/>
      <x:c r="B111" t="str"/>
      <x:c r="C111"/>
      <x:c r="D111" t="str">
        <x:v>Build</x:v>
      </x:c>
      <x:c r="E111" t="str"/>
      <x:c r="F111" t="str"/>
      <x:c r="G111" t="str"/>
      <x:c r="H111" t="str"/>
      <x:c r="I111" t="str"/>
      <x:c r="J111" s="1"/>
    </x:row>
    <x:row r="112">
      <x:c r="A112" s="1"/>
      <x:c r="B112" t="str"/>
      <x:c r="C112"/>
      <x:c r="D112" t="str">
        <x:v>Build</x:v>
      </x:c>
      <x:c r="E112" t="str"/>
      <x:c r="F112" t="str"/>
      <x:c r="G112" t="str"/>
      <x:c r="H112" t="str"/>
      <x:c r="I112" t="str"/>
      <x:c r="J112" s="1"/>
    </x:row>
    <x:row r="113">
      <x:c r="A113" s="1"/>
      <x:c r="B113" t="str"/>
      <x:c r="C113"/>
      <x:c r="D113" t="str">
        <x:v>Build</x:v>
      </x:c>
      <x:c r="E113" t="str"/>
      <x:c r="F113" t="str"/>
      <x:c r="G113" t="str"/>
      <x:c r="H113" t="str"/>
      <x:c r="I113" t="str"/>
      <x:c r="J113" s="1"/>
    </x:row>
    <x:row r="114">
      <x:c r="A114" s="1"/>
      <x:c r="B114" t="str"/>
      <x:c r="C114"/>
      <x:c r="D114" t="str">
        <x:v>Build</x:v>
      </x:c>
      <x:c r="E114" t="str"/>
      <x:c r="F114" t="str"/>
      <x:c r="G114" t="str"/>
      <x:c r="H114" t="str"/>
      <x:c r="I114" t="str"/>
      <x:c r="J114" s="1"/>
    </x:row>
    <x:row r="115">
      <x:c r="A115" s="1"/>
      <x:c r="B115" t="str"/>
      <x:c r="C115"/>
      <x:c r="D115" t="str">
        <x:v>Build</x:v>
      </x:c>
      <x:c r="E115" t="str"/>
      <x:c r="F115" t="str"/>
      <x:c r="G115" t="str"/>
      <x:c r="H115" t="str"/>
      <x:c r="I115" t="str"/>
      <x:c r="J115" s="1"/>
    </x:row>
    <x:row r="116">
      <x:c r="A116" s="1"/>
      <x:c r="B116" t="str"/>
      <x:c r="C116"/>
      <x:c r="D116" t="str">
        <x:v>Build</x:v>
      </x:c>
      <x:c r="E116" t="str"/>
      <x:c r="F116" t="str"/>
      <x:c r="G116" t="str"/>
      <x:c r="H116" t="str"/>
      <x:c r="I116" t="str"/>
      <x:c r="J116" s="1"/>
    </x:row>
    <x:row r="117">
      <x:c r="A117" s="1"/>
      <x:c r="B117" t="str"/>
      <x:c r="C117"/>
      <x:c r="D117" t="str">
        <x:v>Build</x:v>
      </x:c>
      <x:c r="E117" t="str"/>
      <x:c r="F117" t="str"/>
      <x:c r="G117" t="str"/>
      <x:c r="H117" t="str"/>
      <x:c r="I117" t="str"/>
      <x:c r="J117" s="1"/>
    </x:row>
    <x:row r="118">
      <x:c r="A118" s="1"/>
      <x:c r="B118" t="str"/>
      <x:c r="C118"/>
      <x:c r="D118" t="str">
        <x:v>Build</x:v>
      </x:c>
      <x:c r="E118" t="str"/>
      <x:c r="F118" t="str"/>
      <x:c r="G118" t="str"/>
      <x:c r="H118" t="str"/>
      <x:c r="I118" t="str"/>
      <x:c r="J118" s="1"/>
    </x:row>
    <x:row r="119">
      <x:c r="A119" s="1"/>
      <x:c r="B119" t="str"/>
      <x:c r="C119"/>
      <x:c r="D119" t="str">
        <x:v>Build</x:v>
      </x:c>
      <x:c r="E119" t="str"/>
      <x:c r="F119" t="str"/>
      <x:c r="G119" t="str"/>
      <x:c r="H119" t="str"/>
      <x:c r="I119" t="str"/>
      <x:c r="J119" s="1"/>
    </x:row>
    <x:row r="120">
      <x:c r="A120" s="1"/>
      <x:c r="B120" t="str"/>
      <x:c r="C120"/>
      <x:c r="D120" t="str">
        <x:v>Build</x:v>
      </x:c>
      <x:c r="E120" t="str"/>
      <x:c r="F120" t="str"/>
      <x:c r="G120" t="str"/>
      <x:c r="H120" t="str"/>
      <x:c r="I120" t="str"/>
      <x:c r="J120" s="1"/>
    </x:row>
    <x:row r="121">
      <x:c r="A121" s="1"/>
      <x:c r="B121" t="str"/>
      <x:c r="C121"/>
      <x:c r="D121" t="str">
        <x:v>Build</x:v>
      </x:c>
      <x:c r="E121" t="str"/>
      <x:c r="F121" t="str"/>
      <x:c r="G121" t="str"/>
      <x:c r="H121" t="str"/>
      <x:c r="I121" t="str"/>
      <x:c r="J121" s="1"/>
    </x:row>
    <x:row r="122">
      <x:c r="A122" s="1"/>
      <x:c r="B122" t="str"/>
      <x:c r="C122"/>
      <x:c r="D122" t="str">
        <x:v>Build</x:v>
      </x:c>
      <x:c r="E122" t="str"/>
      <x:c r="F122" t="str"/>
      <x:c r="G122" t="str"/>
      <x:c r="H122" t="str"/>
      <x:c r="I122" t="str"/>
      <x:c r="J122" s="1"/>
    </x:row>
    <x:row r="123">
      <x:c r="A123" s="1"/>
      <x:c r="B123" t="str"/>
      <x:c r="C123"/>
      <x:c r="D123" t="str">
        <x:v>Build</x:v>
      </x:c>
      <x:c r="E123" t="str"/>
      <x:c r="F123" t="str"/>
      <x:c r="G123" t="str"/>
      <x:c r="H123" t="str"/>
      <x:c r="I123" t="str"/>
      <x:c r="J123" s="1"/>
    </x:row>
    <x:row r="124">
      <x:c r="A124" s="1"/>
      <x:c r="B124" t="str"/>
      <x:c r="C124"/>
      <x:c r="D124" t="str">
        <x:v>Build</x:v>
      </x:c>
      <x:c r="E124" t="str"/>
      <x:c r="F124" t="str"/>
      <x:c r="G124" t="str"/>
      <x:c r="H124" t="str"/>
      <x:c r="I124" t="str"/>
      <x:c r="J124" s="1"/>
    </x:row>
    <x:row r="125">
      <x:c r="A125" s="1"/>
      <x:c r="B125" t="str"/>
      <x:c r="C125"/>
      <x:c r="D125" t="str">
        <x:v>Build</x:v>
      </x:c>
      <x:c r="E125" t="str"/>
      <x:c r="F125" t="str"/>
      <x:c r="G125" t="str"/>
      <x:c r="H125" t="str"/>
      <x:c r="I125" t="str"/>
      <x:c r="J125" s="1"/>
    </x:row>
    <x:row r="126">
      <x:c r="A126" s="1"/>
      <x:c r="B126" t="str"/>
      <x:c r="C126"/>
      <x:c r="D126" t="str">
        <x:v>Build</x:v>
      </x:c>
      <x:c r="E126" t="str"/>
      <x:c r="F126" t="str"/>
      <x:c r="G126" t="str"/>
      <x:c r="H126" t="str"/>
      <x:c r="I126" t="str"/>
      <x:c r="J126" s="1"/>
    </x:row>
    <x:row r="127">
      <x:c r="A127" s="1"/>
      <x:c r="B127" t="str"/>
      <x:c r="C127"/>
      <x:c r="D127" t="str">
        <x:v>Build</x:v>
      </x:c>
      <x:c r="E127" t="str"/>
      <x:c r="F127" t="str"/>
      <x:c r="G127" t="str"/>
      <x:c r="H127" t="str"/>
      <x:c r="I127" t="str"/>
      <x:c r="J127" s="1"/>
    </x:row>
    <x:row r="128">
      <x:c r="A128" s="1"/>
      <x:c r="B128" t="str"/>
      <x:c r="C128"/>
      <x:c r="D128" t="str">
        <x:v>Build</x:v>
      </x:c>
      <x:c r="E128" t="str"/>
      <x:c r="F128" t="str"/>
      <x:c r="G128" t="str"/>
      <x:c r="H128" t="str"/>
      <x:c r="I128" t="str"/>
      <x:c r="J128" s="1"/>
    </x:row>
    <x:row r="129">
      <x:c r="A129" s="1"/>
      <x:c r="B129" t="str"/>
      <x:c r="C129"/>
      <x:c r="D129" t="str">
        <x:v>Build</x:v>
      </x:c>
      <x:c r="E129" t="str"/>
      <x:c r="F129" t="str"/>
      <x:c r="G129" t="str"/>
      <x:c r="H129" t="str"/>
      <x:c r="I129" t="str"/>
      <x:c r="J129" s="1"/>
    </x:row>
    <x:row r="130">
      <x:c r="A130" s="1"/>
      <x:c r="B130" t="str"/>
      <x:c r="C130"/>
      <x:c r="D130" t="str">
        <x:v>Build</x:v>
      </x:c>
      <x:c r="E130" t="str"/>
      <x:c r="F130" t="str"/>
      <x:c r="G130" t="str"/>
      <x:c r="H130" t="str"/>
      <x:c r="I130" t="str"/>
      <x:c r="J130" s="1"/>
    </x:row>
    <x:row r="131">
      <x:c r="A131" s="1"/>
      <x:c r="B131" t="str"/>
      <x:c r="C131"/>
      <x:c r="D131" t="str">
        <x:v>Build</x:v>
      </x:c>
      <x:c r="E131" t="str"/>
      <x:c r="F131" t="str"/>
      <x:c r="G131" t="str"/>
      <x:c r="H131" t="str"/>
      <x:c r="I131" t="str"/>
      <x:c r="J131" s="1"/>
    </x:row>
    <x:row r="132">
      <x:c r="A132" s="1"/>
      <x:c r="B132" t="str"/>
      <x:c r="C132"/>
      <x:c r="D132" t="str">
        <x:v>Build</x:v>
      </x:c>
      <x:c r="E132" t="str"/>
      <x:c r="F132" t="str"/>
      <x:c r="G132" t="str"/>
      <x:c r="H132" t="str"/>
      <x:c r="I132" t="str"/>
      <x:c r="J132" s="1"/>
    </x:row>
    <x:row r="133">
      <x:c r="A133" s="1"/>
      <x:c r="B133" t="str"/>
      <x:c r="C133"/>
      <x:c r="D133" t="str">
        <x:v>Build</x:v>
      </x:c>
      <x:c r="E133" t="str"/>
      <x:c r="F133" t="str"/>
      <x:c r="G133" t="str"/>
      <x:c r="H133" t="str"/>
      <x:c r="I133" t="str"/>
      <x:c r="J133" s="1"/>
    </x:row>
    <x:row r="134">
      <x:c r="A134" s="1"/>
      <x:c r="B134" t="str"/>
      <x:c r="C134"/>
      <x:c r="D134" t="str">
        <x:v>Build</x:v>
      </x:c>
      <x:c r="E134" t="str"/>
      <x:c r="F134" t="str"/>
      <x:c r="G134" t="str"/>
      <x:c r="H134" t="str"/>
      <x:c r="I134" t="str"/>
      <x:c r="J134" s="1"/>
    </x:row>
    <x:row r="135">
      <x:c r="A135" s="1"/>
      <x:c r="B135" t="str"/>
      <x:c r="C135"/>
      <x:c r="D135" t="str">
        <x:v>Build</x:v>
      </x:c>
      <x:c r="E135" t="str"/>
      <x:c r="F135" t="str"/>
      <x:c r="G135" t="str"/>
      <x:c r="H135" t="str"/>
      <x:c r="I135" t="str"/>
      <x:c r="J135" s="1"/>
    </x:row>
    <x:row r="136">
      <x:c r="A136" s="1"/>
      <x:c r="B136" t="str"/>
      <x:c r="C136"/>
      <x:c r="D136" t="str">
        <x:v>Build</x:v>
      </x:c>
      <x:c r="E136" t="str"/>
      <x:c r="F136" t="str"/>
      <x:c r="G136" t="str"/>
      <x:c r="H136" t="str"/>
      <x:c r="I136" t="str"/>
      <x:c r="J136" s="1"/>
    </x:row>
    <x:row r="137">
      <x:c r="A137" s="1"/>
      <x:c r="B137" t="str"/>
      <x:c r="C137"/>
      <x:c r="D137" t="str">
        <x:v>Build</x:v>
      </x:c>
      <x:c r="E137" t="str"/>
      <x:c r="F137" t="str"/>
      <x:c r="G137" t="str"/>
      <x:c r="H137" t="str"/>
      <x:c r="I137" t="str"/>
      <x:c r="J137" s="1"/>
    </x:row>
    <x:row r="138">
      <x:c r="A138" s="1"/>
      <x:c r="B138" t="str"/>
      <x:c r="C138"/>
      <x:c r="D138" t="str">
        <x:v>Build</x:v>
      </x:c>
      <x:c r="E138" t="str"/>
      <x:c r="F138" t="str"/>
      <x:c r="G138" t="str"/>
      <x:c r="H138" t="str"/>
      <x:c r="I138" t="str"/>
      <x:c r="J138" s="1"/>
    </x:row>
    <x:row r="139">
      <x:c r="A139" s="1"/>
      <x:c r="B139" t="str"/>
      <x:c r="C139"/>
      <x:c r="D139" t="str">
        <x:v>Build</x:v>
      </x:c>
      <x:c r="E139" t="str"/>
      <x:c r="F139" t="str"/>
      <x:c r="G139" t="str"/>
      <x:c r="H139" t="str"/>
      <x:c r="I139" t="str"/>
      <x:c r="J139" s="1"/>
    </x:row>
    <x:row r="140">
      <x:c r="A140" s="1"/>
      <x:c r="B140" t="str"/>
      <x:c r="C140"/>
      <x:c r="D140" t="str">
        <x:v>Build</x:v>
      </x:c>
      <x:c r="E140" t="str"/>
      <x:c r="F140" t="str"/>
      <x:c r="G140" t="str"/>
      <x:c r="H140" t="str"/>
      <x:c r="I140" t="str"/>
      <x:c r="J140" s="1"/>
    </x:row>
    <x:row r="141">
      <x:c r="A141" s="1"/>
      <x:c r="B141" t="str"/>
      <x:c r="C141"/>
      <x:c r="D141" t="str">
        <x:v>Build</x:v>
      </x:c>
      <x:c r="E141" t="str"/>
      <x:c r="F141" t="str"/>
      <x:c r="G141" t="str"/>
      <x:c r="H141" t="str"/>
      <x:c r="I141" t="str"/>
      <x:c r="J141" s="1"/>
    </x:row>
    <x:row r="142">
      <x:c r="A142" s="1"/>
      <x:c r="B142" t="str"/>
      <x:c r="C142"/>
      <x:c r="D142" t="str">
        <x:v>Build</x:v>
      </x:c>
      <x:c r="E142" t="str"/>
      <x:c r="F142" t="str"/>
      <x:c r="G142" t="str"/>
      <x:c r="H142" t="str"/>
      <x:c r="I142" t="str"/>
      <x:c r="J142" s="1"/>
    </x:row>
    <x:row r="143">
      <x:c r="A143" s="1"/>
      <x:c r="B143" t="str"/>
      <x:c r="C143"/>
      <x:c r="D143" t="str">
        <x:v>Build</x:v>
      </x:c>
      <x:c r="E143" t="str"/>
      <x:c r="F143" t="str"/>
      <x:c r="G143" t="str"/>
      <x:c r="H143" t="str"/>
      <x:c r="I143" t="str"/>
      <x:c r="J143" s="1"/>
    </x:row>
    <x:row r="144">
      <x:c r="A144" s="1"/>
      <x:c r="B144" t="str"/>
      <x:c r="C144"/>
      <x:c r="D144" t="str">
        <x:v>Build</x:v>
      </x:c>
      <x:c r="E144" t="str"/>
      <x:c r="F144" t="str"/>
      <x:c r="G144" t="str"/>
      <x:c r="H144" t="str"/>
      <x:c r="I144" t="str"/>
      <x:c r="J144" s="1"/>
    </x:row>
    <x:row r="145">
      <x:c r="A145" s="1"/>
      <x:c r="B145" t="str"/>
      <x:c r="C145"/>
      <x:c r="D145" t="str">
        <x:v>Build</x:v>
      </x:c>
      <x:c r="E145" t="str"/>
      <x:c r="F145" t="str"/>
      <x:c r="G145" t="str"/>
      <x:c r="H145" t="str"/>
      <x:c r="I145" t="str"/>
      <x:c r="J145" s="1"/>
    </x:row>
    <x:row r="146">
      <x:c r="A146" s="1"/>
      <x:c r="B146" t="str"/>
      <x:c r="C146"/>
      <x:c r="D146" t="str">
        <x:v>Build</x:v>
      </x:c>
      <x:c r="E146" t="str"/>
      <x:c r="F146" t="str"/>
      <x:c r="G146" t="str"/>
      <x:c r="H146" t="str"/>
      <x:c r="I146" t="str"/>
      <x:c r="J146" s="1"/>
    </x:row>
    <x:row r="147">
      <x:c r="A147" s="1"/>
      <x:c r="B147" t="str"/>
      <x:c r="C147"/>
      <x:c r="D147" t="str">
        <x:v>Build</x:v>
      </x:c>
      <x:c r="E147" t="str"/>
      <x:c r="F147" t="str"/>
      <x:c r="G147" t="str"/>
      <x:c r="H147" t="str"/>
      <x:c r="I147" t="str"/>
      <x:c r="J147" s="1"/>
    </x:row>
    <x:row r="148">
      <x:c r="A148" s="1"/>
      <x:c r="B148" t="str"/>
      <x:c r="C148"/>
      <x:c r="D148" t="str">
        <x:v>Build</x:v>
      </x:c>
      <x:c r="E148" t="str"/>
      <x:c r="F148" t="str"/>
      <x:c r="G148" t="str"/>
      <x:c r="H148" t="str"/>
      <x:c r="I148" t="str"/>
      <x:c r="J148" s="1"/>
    </x:row>
    <x:row r="149">
      <x:c r="A149" s="1"/>
      <x:c r="B149" t="str"/>
      <x:c r="C149"/>
      <x:c r="D149" t="str">
        <x:v>Build</x:v>
      </x:c>
      <x:c r="E149" t="str"/>
      <x:c r="F149" t="str"/>
      <x:c r="G149" t="str"/>
      <x:c r="H149" t="str"/>
      <x:c r="I149" t="str"/>
      <x:c r="J149" s="1"/>
    </x:row>
    <x:row r="150">
      <x:c r="A150" s="1"/>
      <x:c r="B150" t="str"/>
      <x:c r="C150"/>
      <x:c r="D150" t="str">
        <x:v>Build</x:v>
      </x:c>
      <x:c r="E150" t="str"/>
      <x:c r="F150" t="str"/>
      <x:c r="G150" t="str"/>
      <x:c r="H150" t="str"/>
      <x:c r="I150" t="str"/>
      <x:c r="J150" s="1"/>
    </x:row>
    <x:row r="151">
      <x:c r="A151" s="1"/>
      <x:c r="B151" t="str"/>
      <x:c r="C151"/>
      <x:c r="D151" t="str">
        <x:v>Build</x:v>
      </x:c>
      <x:c r="E151" t="str"/>
      <x:c r="F151" t="str"/>
      <x:c r="G151" t="str"/>
      <x:c r="H151" t="str"/>
      <x:c r="I151" t="str"/>
      <x:c r="J151" s="1"/>
    </x:row>
    <x:row r="152">
      <x:c r="A152" s="1"/>
      <x:c r="B152" t="str"/>
      <x:c r="C152"/>
      <x:c r="D152" t="str">
        <x:v>Build</x:v>
      </x:c>
      <x:c r="E152" t="str"/>
      <x:c r="F152" t="str"/>
      <x:c r="G152" t="str"/>
      <x:c r="H152" t="str"/>
      <x:c r="I152" t="str"/>
      <x:c r="J152" s="1"/>
    </x:row>
    <x:row r="153">
      <x:c r="A153" s="1"/>
      <x:c r="B153" t="str"/>
      <x:c r="C153"/>
      <x:c r="D153" t="str">
        <x:v>Build</x:v>
      </x:c>
      <x:c r="E153" t="str"/>
      <x:c r="F153" t="str"/>
      <x:c r="G153" t="str"/>
      <x:c r="H153" t="str"/>
      <x:c r="I153" t="str"/>
      <x:c r="J153" s="1"/>
    </x:row>
    <x:row r="154">
      <x:c r="A154" s="1"/>
      <x:c r="B154" t="str"/>
      <x:c r="C154"/>
      <x:c r="D154" t="str">
        <x:v>Build</x:v>
      </x:c>
      <x:c r="E154" t="str"/>
      <x:c r="F154" t="str"/>
      <x:c r="G154" t="str"/>
      <x:c r="H154" t="str"/>
      <x:c r="I154" t="str"/>
      <x:c r="J154" s="1"/>
    </x:row>
    <x:row r="155">
      <x:c r="A155" s="1"/>
      <x:c r="B155" t="str"/>
      <x:c r="C155"/>
      <x:c r="D155" t="str">
        <x:v>Build</x:v>
      </x:c>
      <x:c r="E155" t="str"/>
      <x:c r="F155" t="str"/>
      <x:c r="G155" t="str"/>
      <x:c r="H155" t="str"/>
      <x:c r="I155" t="str"/>
      <x:c r="J155" s="1"/>
    </x:row>
    <x:row r="156">
      <x:c r="A156" s="1"/>
      <x:c r="B156" t="str"/>
      <x:c r="C156"/>
      <x:c r="D156" t="str">
        <x:v>Build</x:v>
      </x:c>
      <x:c r="E156" t="str"/>
      <x:c r="F156" t="str"/>
      <x:c r="G156" t="str"/>
      <x:c r="H156" t="str"/>
      <x:c r="I156" t="str"/>
      <x:c r="J156" s="1"/>
    </x:row>
    <x:row r="157">
      <x:c r="A157" s="1"/>
      <x:c r="B157" t="str"/>
      <x:c r="C157"/>
      <x:c r="D157" t="str">
        <x:v>Build</x:v>
      </x:c>
      <x:c r="E157" t="str"/>
      <x:c r="F157" t="str"/>
      <x:c r="G157" t="str"/>
      <x:c r="H157" t="str"/>
      <x:c r="I157" t="str"/>
      <x:c r="J157" s="1"/>
    </x:row>
    <x:row r="158">
      <x:c r="A158" s="1"/>
      <x:c r="B158" t="str"/>
      <x:c r="C158"/>
      <x:c r="D158" t="str">
        <x:v>Build</x:v>
      </x:c>
      <x:c r="E158" t="str"/>
      <x:c r="F158" t="str"/>
      <x:c r="G158" t="str"/>
      <x:c r="H158" t="str"/>
      <x:c r="I158" t="str"/>
      <x:c r="J158" s="1"/>
    </x:row>
    <x:row r="159">
      <x:c r="A159" s="1"/>
      <x:c r="B159" t="str"/>
      <x:c r="C159"/>
      <x:c r="D159" t="str">
        <x:v>Build</x:v>
      </x:c>
      <x:c r="E159" t="str"/>
      <x:c r="F159" t="str"/>
      <x:c r="G159" t="str"/>
      <x:c r="H159" t="str"/>
      <x:c r="I159" t="str"/>
      <x:c r="J159" s="1"/>
    </x:row>
    <x:row r="160">
      <x:c r="A160" s="1"/>
      <x:c r="B160" t="str"/>
      <x:c r="C160"/>
      <x:c r="D160" t="str">
        <x:v>Build</x:v>
      </x:c>
      <x:c r="E160" t="str"/>
      <x:c r="F160" t="str"/>
      <x:c r="G160" t="str"/>
      <x:c r="H160" t="str"/>
      <x:c r="I160" t="str"/>
      <x:c r="J160" s="1"/>
    </x:row>
    <x:row r="161">
      <x:c r="A161" s="1"/>
      <x:c r="B161" t="str"/>
      <x:c r="C161"/>
      <x:c r="D161" t="str">
        <x:v>Build</x:v>
      </x:c>
      <x:c r="E161" t="str"/>
      <x:c r="F161" t="str"/>
      <x:c r="G161" t="str"/>
      <x:c r="H161" t="str"/>
      <x:c r="I161" t="str"/>
      <x:c r="J161" s="1"/>
    </x:row>
    <x:row r="162">
      <x:c r="A162" s="1"/>
      <x:c r="B162" t="str"/>
      <x:c r="C162"/>
      <x:c r="D162" t="str">
        <x:v>Build</x:v>
      </x:c>
      <x:c r="E162" t="str"/>
      <x:c r="F162" t="str"/>
      <x:c r="G162" t="str"/>
      <x:c r="H162" t="str"/>
      <x:c r="I162" t="str"/>
      <x:c r="J162" s="1"/>
    </x:row>
    <x:row r="163">
      <x:c r="A163" s="1"/>
      <x:c r="B163" t="str"/>
      <x:c r="C163"/>
      <x:c r="D163" t="str">
        <x:v>Build</x:v>
      </x:c>
      <x:c r="E163" t="str"/>
      <x:c r="F163" t="str"/>
      <x:c r="G163" t="str"/>
      <x:c r="H163" t="str"/>
      <x:c r="I163" t="str"/>
      <x:c r="J163" s="1"/>
    </x:row>
    <x:row r="164">
      <x:c r="A164" s="1"/>
      <x:c r="B164" t="str"/>
      <x:c r="C164"/>
      <x:c r="D164" t="str">
        <x:v>Build</x:v>
      </x:c>
      <x:c r="E164" t="str"/>
      <x:c r="F164" t="str"/>
      <x:c r="G164" t="str"/>
      <x:c r="H164" t="str"/>
      <x:c r="I164" t="str"/>
      <x:c r="J164" s="1"/>
    </x:row>
    <x:row r="165">
      <x:c r="A165" s="1"/>
      <x:c r="B165" t="str"/>
      <x:c r="C165"/>
      <x:c r="D165" t="str">
        <x:v>Build</x:v>
      </x:c>
      <x:c r="E165" t="str"/>
      <x:c r="F165" t="str"/>
      <x:c r="G165" t="str"/>
      <x:c r="H165" t="str"/>
      <x:c r="I165" t="str"/>
      <x:c r="J165" s="1"/>
    </x:row>
    <x:row r="166">
      <x:c r="A166" s="1"/>
      <x:c r="B166" t="str"/>
      <x:c r="C166"/>
      <x:c r="D166" t="str">
        <x:v>Build</x:v>
      </x:c>
      <x:c r="E166" t="str"/>
      <x:c r="F166" t="str"/>
      <x:c r="G166" t="str"/>
      <x:c r="H166" t="str"/>
      <x:c r="I166" t="str"/>
      <x:c r="J166" s="1"/>
    </x:row>
    <x:row r="167">
      <x:c r="A167" s="1"/>
      <x:c r="B167" t="str"/>
      <x:c r="C167"/>
      <x:c r="D167" t="str">
        <x:v>Build</x:v>
      </x:c>
      <x:c r="E167" t="str"/>
      <x:c r="F167" t="str"/>
      <x:c r="G167" t="str"/>
      <x:c r="H167" t="str"/>
      <x:c r="I167" t="str"/>
      <x:c r="J167" s="1"/>
    </x:row>
    <x:row r="168">
      <x:c r="A168" s="1"/>
      <x:c r="B168" t="str"/>
      <x:c r="C168"/>
      <x:c r="D168" t="str">
        <x:v>Build</x:v>
      </x:c>
      <x:c r="E168" t="str"/>
      <x:c r="F168" t="str"/>
      <x:c r="G168" t="str"/>
      <x:c r="H168" t="str"/>
      <x:c r="I168" t="str"/>
      <x:c r="J168" s="1"/>
    </x:row>
    <x:row r="169">
      <x:c r="A169" s="1"/>
      <x:c r="B169" t="str"/>
      <x:c r="C169"/>
      <x:c r="D169" t="str">
        <x:v>Build</x:v>
      </x:c>
      <x:c r="E169" t="str"/>
      <x:c r="F169" t="str"/>
      <x:c r="G169" t="str"/>
      <x:c r="H169" t="str"/>
      <x:c r="I169" t="str"/>
      <x:c r="J169" s="1"/>
    </x:row>
    <x:row r="170">
      <x:c r="A170" s="1"/>
      <x:c r="B170" t="str"/>
      <x:c r="C170"/>
      <x:c r="D170" t="str">
        <x:v>Build</x:v>
      </x:c>
      <x:c r="E170" t="str"/>
      <x:c r="F170" t="str"/>
      <x:c r="G170" t="str"/>
      <x:c r="H170" t="str"/>
      <x:c r="I170" t="str"/>
      <x:c r="J170" s="1"/>
    </x:row>
    <x:row r="171">
      <x:c r="A171" s="1"/>
      <x:c r="B171" t="str"/>
      <x:c r="C171"/>
      <x:c r="D171" t="str">
        <x:v>Build</x:v>
      </x:c>
      <x:c r="E171" t="str"/>
      <x:c r="F171" t="str"/>
      <x:c r="G171" t="str"/>
      <x:c r="H171" t="str"/>
      <x:c r="I171" t="str"/>
      <x:c r="J171" s="1"/>
    </x:row>
    <x:row r="172">
      <x:c r="A172" s="1"/>
      <x:c r="B172" t="str"/>
      <x:c r="C172"/>
      <x:c r="D172" t="str">
        <x:v>Build</x:v>
      </x:c>
      <x:c r="E172" t="str"/>
      <x:c r="F172" t="str"/>
      <x:c r="G172" t="str"/>
      <x:c r="H172" t="str"/>
      <x:c r="I172" t="str"/>
      <x:c r="J172" s="1"/>
    </x:row>
    <x:row r="173">
      <x:c r="A173" s="1"/>
      <x:c r="B173" t="str"/>
      <x:c r="C173"/>
      <x:c r="D173" t="str">
        <x:v>Build</x:v>
      </x:c>
      <x:c r="E173" t="str"/>
      <x:c r="F173" t="str"/>
      <x:c r="G173" t="str"/>
      <x:c r="H173" t="str"/>
      <x:c r="I173" t="str"/>
      <x:c r="J173" s="1"/>
    </x:row>
    <x:row r="174">
      <x:c r="A174" s="1"/>
      <x:c r="B174" t="str"/>
      <x:c r="C174"/>
      <x:c r="D174" t="str">
        <x:v>Build</x:v>
      </x:c>
      <x:c r="E174" t="str"/>
      <x:c r="F174" t="str"/>
      <x:c r="G174" t="str"/>
      <x:c r="H174" t="str"/>
      <x:c r="I174" t="str"/>
      <x:c r="J174" s="1"/>
    </x:row>
    <x:row r="175">
      <x:c r="A175" s="1"/>
      <x:c r="B175" t="str"/>
      <x:c r="C175"/>
      <x:c r="D175" t="str">
        <x:v>Build</x:v>
      </x:c>
      <x:c r="E175" t="str"/>
      <x:c r="F175" t="str"/>
      <x:c r="G175" t="str"/>
      <x:c r="H175" t="str"/>
      <x:c r="I175" t="str"/>
      <x:c r="J175" s="1"/>
    </x:row>
    <x:row r="176">
      <x:c r="A176" s="1"/>
      <x:c r="B176" t="str"/>
      <x:c r="C176"/>
      <x:c r="D176" t="str">
        <x:v>Build</x:v>
      </x:c>
      <x:c r="E176" t="str"/>
      <x:c r="F176" t="str"/>
      <x:c r="G176" t="str"/>
      <x:c r="H176" t="str"/>
      <x:c r="I176" t="str"/>
      <x:c r="J176" s="1"/>
    </x:row>
    <x:row r="177">
      <x:c r="A177" s="1"/>
      <x:c r="B177" t="str"/>
      <x:c r="C177"/>
      <x:c r="D177" t="str">
        <x:v>Build</x:v>
      </x:c>
      <x:c r="E177" t="str"/>
      <x:c r="F177" t="str"/>
      <x:c r="G177" t="str"/>
      <x:c r="H177" t="str"/>
      <x:c r="I177" t="str"/>
      <x:c r="J177" s="1"/>
    </x:row>
    <x:row r="178">
      <x:c r="A178" s="1"/>
      <x:c r="B178" t="str"/>
      <x:c r="C178"/>
      <x:c r="D178" t="str">
        <x:v>Build</x:v>
      </x:c>
      <x:c r="E178" t="str"/>
      <x:c r="F178" t="str"/>
      <x:c r="G178" t="str"/>
      <x:c r="H178" t="str"/>
      <x:c r="I178" t="str"/>
      <x:c r="J178" s="1"/>
    </x:row>
    <x:row r="179">
      <x:c r="A179" s="1"/>
      <x:c r="B179" t="str"/>
      <x:c r="C179"/>
      <x:c r="D179" t="str">
        <x:v>Build</x:v>
      </x:c>
      <x:c r="E179" t="str"/>
      <x:c r="F179" t="str"/>
      <x:c r="G179" t="str"/>
      <x:c r="H179" t="str"/>
      <x:c r="I179" t="str"/>
      <x:c r="J179" s="1"/>
    </x:row>
    <x:row r="180">
      <x:c r="A180" s="1"/>
      <x:c r="B180" t="str"/>
      <x:c r="C180"/>
      <x:c r="D180" t="str">
        <x:v>Build</x:v>
      </x:c>
      <x:c r="E180" t="str"/>
      <x:c r="F180" t="str"/>
      <x:c r="G180" t="str"/>
      <x:c r="H180" t="str"/>
      <x:c r="I180" t="str"/>
      <x:c r="J180" s="1"/>
    </x:row>
    <x:row r="181">
      <x:c r="A181" s="1"/>
      <x:c r="B181" t="str"/>
      <x:c r="C181"/>
      <x:c r="D181" t="str">
        <x:v>Build</x:v>
      </x:c>
      <x:c r="E181" t="str"/>
      <x:c r="F181" t="str"/>
      <x:c r="G181" t="str"/>
      <x:c r="H181" t="str"/>
      <x:c r="I181" t="str"/>
      <x:c r="J181" s="1"/>
    </x:row>
    <x:row r="182">
      <x:c r="A182" s="1"/>
      <x:c r="B182" t="str"/>
      <x:c r="C182"/>
      <x:c r="D182" t="str">
        <x:v>Build</x:v>
      </x:c>
      <x:c r="E182" t="str"/>
      <x:c r="F182" t="str"/>
      <x:c r="G182" t="str"/>
      <x:c r="H182" t="str"/>
      <x:c r="I182" t="str"/>
      <x:c r="J182" s="1"/>
    </x:row>
    <x:row r="183">
      <x:c r="A183" s="1"/>
      <x:c r="B183" t="str"/>
      <x:c r="C183"/>
      <x:c r="D183" t="str">
        <x:v>Build</x:v>
      </x:c>
      <x:c r="E183" t="str"/>
      <x:c r="F183" t="str"/>
      <x:c r="G183" t="str"/>
      <x:c r="H183" t="str"/>
      <x:c r="I183" t="str"/>
      <x:c r="J183" s="1"/>
    </x:row>
    <x:row r="184">
      <x:c r="A184" s="1"/>
      <x:c r="B184" t="str"/>
      <x:c r="C184"/>
      <x:c r="D184" t="str">
        <x:v>Build</x:v>
      </x:c>
      <x:c r="E184" t="str"/>
      <x:c r="F184" t="str"/>
      <x:c r="G184" t="str"/>
      <x:c r="H184" t="str"/>
      <x:c r="I184" t="str"/>
      <x:c r="J184" s="1"/>
    </x:row>
    <x:row r="185">
      <x:c r="A185" s="1"/>
      <x:c r="B185" t="str"/>
      <x:c r="C185"/>
      <x:c r="D185" t="str">
        <x:v>Build</x:v>
      </x:c>
      <x:c r="E185" t="str"/>
      <x:c r="F185" t="str"/>
      <x:c r="G185" t="str"/>
      <x:c r="H185" t="str"/>
      <x:c r="I185" t="str"/>
      <x:c r="J185" s="1"/>
    </x:row>
    <x:row r="186">
      <x:c r="A186" s="1"/>
      <x:c r="B186" t="str"/>
      <x:c r="C186"/>
      <x:c r="D186" t="str">
        <x:v>Build</x:v>
      </x:c>
      <x:c r="E186" t="str"/>
      <x:c r="F186" t="str"/>
      <x:c r="G186" t="str"/>
      <x:c r="H186" t="str"/>
      <x:c r="I186" t="str"/>
      <x:c r="J186" s="1"/>
    </x:row>
    <x:row r="187">
      <x:c r="A187" s="1"/>
      <x:c r="B187" t="str"/>
      <x:c r="C187"/>
      <x:c r="D187" t="str">
        <x:v>Build</x:v>
      </x:c>
      <x:c r="E187" t="str"/>
      <x:c r="F187" t="str"/>
      <x:c r="G187" t="str"/>
      <x:c r="H187" t="str"/>
      <x:c r="I187" t="str"/>
      <x:c r="J187" s="1"/>
    </x:row>
    <x:row r="188">
      <x:c r="A188" s="1"/>
      <x:c r="B188" t="str"/>
      <x:c r="C188"/>
      <x:c r="D188" t="str">
        <x:v>Build</x:v>
      </x:c>
      <x:c r="E188" t="str"/>
      <x:c r="F188" t="str"/>
      <x:c r="G188" t="str"/>
      <x:c r="H188" t="str"/>
      <x:c r="I188" t="str"/>
      <x:c r="J188" s="1"/>
    </x:row>
    <x:row r="189">
      <x:c r="A189" s="1"/>
      <x:c r="B189" t="str"/>
      <x:c r="C189"/>
      <x:c r="D189" t="str">
        <x:v>Build</x:v>
      </x:c>
      <x:c r="E189" t="str"/>
      <x:c r="F189" t="str"/>
      <x:c r="G189" t="str"/>
      <x:c r="H189" t="str"/>
      <x:c r="I189" t="str"/>
      <x:c r="J189" s="1"/>
    </x:row>
    <x:row r="190">
      <x:c r="A190" s="1"/>
      <x:c r="B190" t="str"/>
      <x:c r="C190"/>
      <x:c r="D190" t="str">
        <x:v>Build</x:v>
      </x:c>
      <x:c r="E190" t="str"/>
      <x:c r="F190" t="str"/>
      <x:c r="G190" t="str"/>
      <x:c r="H190" t="str"/>
      <x:c r="I190" t="str"/>
      <x:c r="J190" s="1"/>
    </x:row>
    <x:row r="191">
      <x:c r="A191" s="1"/>
      <x:c r="B191" t="str"/>
      <x:c r="C191"/>
      <x:c r="D191" t="str">
        <x:v>Build</x:v>
      </x:c>
      <x:c r="E191" t="str"/>
      <x:c r="F191" t="str"/>
      <x:c r="G191" t="str"/>
      <x:c r="H191" t="str"/>
      <x:c r="I191" t="str"/>
      <x:c r="J191" s="1"/>
    </x:row>
    <x:row r="192">
      <x:c r="A192" s="1"/>
      <x:c r="B192" t="str"/>
      <x:c r="C192"/>
      <x:c r="D192" t="str">
        <x:v>Build</x:v>
      </x:c>
      <x:c r="E192" t="str"/>
      <x:c r="F192" t="str"/>
      <x:c r="G192" t="str"/>
      <x:c r="H192" t="str"/>
      <x:c r="I192" t="str"/>
      <x:c r="J192" s="1"/>
    </x:row>
    <x:row r="193">
      <x:c r="A193" s="1"/>
      <x:c r="B193" t="str"/>
      <x:c r="C193"/>
      <x:c r="D193" t="str">
        <x:v>Build</x:v>
      </x:c>
      <x:c r="E193" t="str"/>
      <x:c r="F193" t="str"/>
      <x:c r="G193" t="str"/>
      <x:c r="H193" t="str"/>
      <x:c r="I193" t="str"/>
      <x:c r="J193" s="1"/>
    </x:row>
    <x:row r="194">
      <x:c r="A194" s="1"/>
      <x:c r="B194" t="str"/>
      <x:c r="C194"/>
      <x:c r="D194" t="str">
        <x:v>Build</x:v>
      </x:c>
      <x:c r="E194" t="str"/>
      <x:c r="F194" t="str"/>
      <x:c r="G194" t="str"/>
      <x:c r="H194" t="str"/>
      <x:c r="I194" t="str"/>
      <x:c r="J194" s="1"/>
    </x:row>
    <x:row r="195">
      <x:c r="A195" s="1"/>
      <x:c r="B195" t="str"/>
      <x:c r="C195"/>
      <x:c r="D195" t="str">
        <x:v>Build</x:v>
      </x:c>
      <x:c r="E195" t="str"/>
      <x:c r="F195" t="str"/>
      <x:c r="G195" t="str"/>
      <x:c r="H195" t="str"/>
      <x:c r="I195" t="str"/>
      <x:c r="J195" s="1"/>
    </x:row>
    <x:row r="196">
      <x:c r="A196" s="1"/>
      <x:c r="B196" t="str"/>
      <x:c r="C196"/>
      <x:c r="D196" t="str">
        <x:v>Build</x:v>
      </x:c>
      <x:c r="E196" t="str"/>
      <x:c r="F196" t="str"/>
      <x:c r="G196" t="str"/>
      <x:c r="H196" t="str"/>
      <x:c r="I196" t="str"/>
      <x:c r="J196" s="1"/>
    </x:row>
    <x:row r="197">
      <x:c r="A197" s="1"/>
      <x:c r="B197" t="str"/>
      <x:c r="C197"/>
      <x:c r="D197" t="str">
        <x:v>Build</x:v>
      </x:c>
      <x:c r="E197" t="str"/>
      <x:c r="F197" t="str"/>
      <x:c r="G197" t="str"/>
      <x:c r="H197" t="str"/>
      <x:c r="I197" t="str"/>
      <x:c r="J197" s="1"/>
    </x:row>
    <x:row r="198">
      <x:c r="A198" s="1"/>
      <x:c r="B198" t="str"/>
      <x:c r="C198"/>
      <x:c r="D198" t="str">
        <x:v>Build</x:v>
      </x:c>
      <x:c r="E198" t="str"/>
      <x:c r="F198" t="str"/>
      <x:c r="G198" t="str"/>
      <x:c r="H198" t="str"/>
      <x:c r="I198" t="str"/>
      <x:c r="J198" s="1"/>
    </x:row>
    <x:row r="199">
      <x:c r="A199" s="1"/>
      <x:c r="B199" t="str"/>
      <x:c r="C199"/>
      <x:c r="D199" t="str">
        <x:v>Build</x:v>
      </x:c>
      <x:c r="E199" t="str"/>
      <x:c r="F199" t="str"/>
      <x:c r="G199" t="str"/>
      <x:c r="H199" t="str"/>
      <x:c r="I199" t="str"/>
      <x:c r="J199" s="1"/>
    </x:row>
    <x:row r="200">
      <x:c r="A200" s="1"/>
      <x:c r="B200" t="str"/>
      <x:c r="C200"/>
      <x:c r="D200" t="str">
        <x:v>Build</x:v>
      </x:c>
      <x:c r="E200" t="str"/>
      <x:c r="F200" t="str"/>
      <x:c r="G200" t="str"/>
      <x:c r="H200" t="str"/>
      <x:c r="I200" t="str"/>
      <x:c r="J200" s="1"/>
    </x:row>
    <x:row r="201">
      <x:c r="A201" s="1"/>
      <x:c r="B201" t="str"/>
      <x:c r="C201"/>
      <x:c r="D201" t="str">
        <x:v>Build</x:v>
      </x:c>
      <x:c r="E201" t="str"/>
      <x:c r="F201" t="str"/>
      <x:c r="G201" t="str"/>
      <x:c r="H201" t="str"/>
      <x:c r="I201" t="str"/>
      <x:c r="J201" s="1"/>
    </x:row>
  </x:sheetData>
  <x:dataValidations count="2">
    <x:dataValidation type="list" sqref="D2:D201">
      <x:formula1>"Build,Troubleshoot,Rebuild,Timed Mock,Review"</x:formula1>
    </x:dataValidation>
    <x:dataValidation type="list" sqref="E2:E201">
      <x:formula1>"Pass,Partial,Fail"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2a517f87c0414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65" hidden="0" customWidth="1"/>
    <x:col min="3" max="3" width="85" hidden="0" customWidth="1"/>
  </x:cols>
  <x:sheetData>
    <x:row r="1" ht="34" customHeight="1">
      <x:c r="A1" s="64" t="str">
        <x:v>How to Use This Workbook</x:v>
      </x:c>
      <x:c r="B1" s="64"/>
      <x:c r="C1" s="64"/>
      <x:c r="D1" s="64"/>
      <x:c r="E1" s="64"/>
      <x:c r="F1" s="64"/>
    </x:row>
    <x:row r="3">
      <x:c r="A3" s="65" t="str">
        <x:v>Step</x:v>
      </x:c>
      <x:c r="B3" s="65" t="str">
        <x:v>Action</x:v>
      </x:c>
      <x:c r="C3" s="65" t="str">
        <x:v>Standard</x:v>
      </x:c>
    </x:row>
    <x:row r="4">
      <x:c r="A4" s="65" t="str">
        <x:v>1</x:v>
      </x:c>
      <x:c r="B4" s="65" t="str">
        <x:v>Select</x:v>
      </x:c>
      <x:c r="C4" s="65" t="str">
        <x:v>Start with Lab Checklist filtered to Priority = Core and Status = Not Started.</x:v>
      </x:c>
    </x:row>
    <x:row r="5">
      <x:c r="A5" s="65" t="str">
        <x:v>2</x:v>
      </x:c>
      <x:c r="B5" s="65" t="str">
        <x:v>Build</x:v>
      </x:c>
      <x:c r="C5" s="65" t="str">
        <x:v>Configure from a blank or minimal baseline. Do not paste a full solution.</x:v>
      </x:c>
    </x:row>
    <x:row r="6">
      <x:c r="A6" s="65" t="str">
        <x:v>3</x:v>
      </x:c>
      <x:c r="B6" s="65" t="str">
        <x:v>Explain</x:v>
      </x:c>
      <x:c r="C6" s="65" t="str">
        <x:v>For each protocol, explain adjacency/session formation, route/label learning, best-path choice and forwarding.</x:v>
      </x:c>
    </x:row>
    <x:row r="7">
      <x:c r="A7" s="65" t="str">
        <x:v>4</x:v>
      </x:c>
      <x:c r="B7" s="65" t="str">
        <x:v>Prove</x:v>
      </x:c>
      <x:c r="C7" s="65" t="str">
        <x:v>Validate both control plane and data plane. A route in a table is not enough.</x:v>
      </x:c>
    </x:row>
    <x:row r="8">
      <x:c r="A8" s="65" t="str">
        <x:v>5</x:v>
      </x:c>
      <x:c r="B8" s="65" t="str">
        <x:v>Break</x:v>
      </x:c>
      <x:c r="C8" s="65" t="str">
        <x:v>Seed at least one fault after the clean build. Record hypothesis before changing configuration.</x:v>
      </x:c>
    </x:row>
    <x:row r="9">
      <x:c r="A9" s="65" t="str">
        <x:v>6</x:v>
      </x:c>
      <x:c r="B9" s="65" t="str">
        <x:v>Recover</x:v>
      </x:c>
      <x:c r="C9" s="65" t="str">
        <x:v>Apply the smallest safe change, verify service restoration and document rollback.</x:v>
      </x:c>
    </x:row>
    <x:row r="10">
      <x:c r="A10" s="65" t="str">
        <x:v>7</x:v>
      </x:c>
      <x:c r="B10" s="65" t="str">
        <x:v>Record</x:v>
      </x:c>
      <x:c r="C10" s="65" t="str">
        <x:v>Attach configs, command output, packet/traffic result and root-cause note in Evidence Link / Folder.</x:v>
      </x:c>
    </x:row>
    <x:row r="11">
      <x:c r="A11" s="65" t="str">
        <x:v>8</x:v>
      </x:c>
      <x:c r="B11" s="65" t="str">
        <x:v>Complete</x:v>
      </x:c>
      <x:c r="C11" s="65" t="str">
        <x:v>Mark ☑ only when confidence is ≥4 and you can repeat the lab without a recipe.</x:v>
      </x:c>
    </x:row>
    <x:row r="12">
      <x:c r="A12" s="65" t="str">
        <x:v>9</x:v>
      </x:c>
      <x:c r="B12" s="65" t="str">
        <x:v>Revisit</x:v>
      </x:c>
      <x:c r="C12" s="65" t="str">
        <x:v>Use ↻ when knowledge decays or a mock exam exposes a gap.</x:v>
      </x:c>
    </x:row>
    <x:row r="13">
      <x:c r="A13" s="65" t="str">
        <x:v>10</x:v>
      </x:c>
      <x:c r="B13" s="65" t="str">
        <x:v>Integrate</x:v>
      </x:c>
      <x:c r="C13" s="65" t="str">
        <x:v>After each major phase, perform a mixed fault lab before moving on.</x:v>
      </x:c>
    </x:row>
    <x:row r="15">
      <x:c r="A15" s="58" t="str">
        <x:v>Definition of Mastery</x:v>
      </x:c>
      <x:c r="B15" s="58"/>
      <x:c r="C15" s="58"/>
      <x:c r="D15" s="58"/>
      <x:c r="E15" s="58"/>
      <x:c r="F15" s="58"/>
    </x:row>
    <x:row r="17">
      <x:c r="A17" s="65" t="str">
        <x:v>Dimension</x:v>
      </x:c>
      <x:c r="B17" s="65" t="str">
        <x:v>Completion Gate</x:v>
      </x:c>
    </x:row>
    <x:row r="18">
      <x:c r="A18" s="65" t="str">
        <x:v>Control plane</x:v>
      </x:c>
      <x:c r="B18" s="65" t="str">
        <x:v>Can predict and verify protocol state, advertisements, policy effects and failure behavior.</x:v>
      </x:c>
    </x:row>
    <x:row r="19">
      <x:c r="A19" s="65" t="str">
        <x:v>Data plane</x:v>
      </x:c>
      <x:c r="B19" s="65" t="str">
        <x:v>Can trace packet/label forwarding end to end and reconcile it with control-plane state.</x:v>
      </x:c>
    </x:row>
    <x:row r="20">
      <x:c r="A20" s="65" t="str">
        <x:v>Troubleshooting</x:v>
      </x:c>
      <x:c r="B20" s="65" t="str">
        <x:v>Uses hypothesis → evidence → minimal change → verification; does not “shotgun” configuration.</x:v>
      </x:c>
    </x:row>
    <x:row r="21">
      <x:c r="A21" s="65" t="str">
        <x:v>Operations</x:v>
      </x:c>
      <x:c r="B21" s="65" t="str">
        <x:v>Captures prechecks, blast radius, rollback, postchecks and evidence.</x:v>
      </x:c>
    </x:row>
    <x:row r="22">
      <x:c r="A22" s="65" t="str">
        <x:v>Repeatability</x:v>
      </x:c>
      <x:c r="B22" s="65" t="str">
        <x:v>Can rebuild from blank config and automate or template repetitive elements.</x:v>
      </x:c>
    </x:row>
    <x:row r="23">
      <x:c r="A23" s="65" t="str">
        <x:v>Communication</x:v>
      </x:c>
      <x:c r="B23" s="65" t="str">
        <x:v>Can explain the design and root cause clearly to another senior engineer.</x:v>
      </x:c>
    </x:row>
    <x:row r="25">
      <x:c r="A25" s="70" t="str">
        <x:v>Official references: https://www.juniper.net/us/en/training/certification/tracks/service-provider-routing-switching/jncie-sp.html | https://learningportal.juniper.net/juniper/user_activity_info.aspx?id=EDU-JUN-JOL-JNCIE-SP | https://www.juniper.net/documentation/us/en/software/junos/mpls/mpls.pdf</x:v>
      </x:c>
      <x:c r="B25" s="70"/>
      <x:c r="C25" s="70"/>
      <x:c r="D25" s="70"/>
      <x:c r="E25" s="70"/>
      <x:c r="F25" s="70"/>
    </x:row>
  </x:sheetData>
  <x:mergeCells>
    <x:mergeCell ref="A1:F1"/>
    <x:mergeCell ref="A15:F15"/>
    <x:mergeCell ref="A25:F25"/>
  </x:mergeCells>
  <x:pageMargins left="0.7" right="0.7" top="0.75" bottom="0.75" header="0.3" footer="0.3"/>
  <x:tableParts count="2">
    <x:tablePart xmlns:r="http://schemas.openxmlformats.org/officeDocument/2006/relationships" r:id="R09e230c97bcf4aa3"/>
    <x:tablePart xmlns:r="http://schemas.openxmlformats.org/officeDocument/2006/relationships" r:id="Rab569895f743442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</x:cols>
  <x:sheetData>
    <x:row r="1">
      <x:c r="A1" t="str">
        <x:v>Status</x:v>
      </x:c>
      <x:c r="B1" t="str">
        <x:v>Confidence</x:v>
      </x:c>
      <x:c r="C1" t="str">
        <x:v>Difficulty</x:v>
      </x:c>
      <x:c r="D1" t="str">
        <x:v>Priority</x:v>
      </x:c>
    </x:row>
    <x:row r="2">
      <x:c r="A2" t="str">
        <x:v>☐ Not Started</x:v>
      </x:c>
      <x:c r="B2" t="n">
        <x:v>0</x:v>
      </x:c>
      <x:c r="C2" t="str">
        <x:v>Intermediate</x:v>
      </x:c>
      <x:c r="D2" t="str">
        <x:v>Core</x:v>
      </x:c>
    </x:row>
    <x:row r="3">
      <x:c r="A3" t="str">
        <x:v>◐ In Progress</x:v>
      </x:c>
      <x:c r="B3" t="n">
        <x:v>1</x:v>
      </x:c>
      <x:c r="C3" t="str">
        <x:v>Advanced</x:v>
      </x:c>
      <x:c r="D3" t="str">
        <x:v>Beyond Exam</x:v>
      </x:c>
    </x:row>
    <x:row r="4">
      <x:c r="A4" t="str">
        <x:v>☑ Completed</x:v>
      </x:c>
      <x:c r="B4" t="n">
        <x:v>2</x:v>
      </x:c>
      <x:c r="C4" t="str">
        <x:v>Expert</x:v>
      </x:c>
      <x:c r="D4" t="str"/>
    </x:row>
    <x:row r="5">
      <x:c r="A5" t="str">
        <x:v>↻ Revisit</x:v>
      </x:c>
      <x:c r="B5" t="n">
        <x:v>3</x:v>
      </x:c>
      <x:c r="C5" t="str"/>
      <x:c r="D5" t="str"/>
    </x:row>
    <x:row r="6">
      <x:c r="A6" t="str"/>
      <x:c r="B6" t="n">
        <x:v>4</x:v>
      </x:c>
      <x:c r="C6" t="str"/>
      <x:c r="D6" t="str"/>
    </x:row>
    <x:row r="7">
      <x:c r="A7" t="str"/>
      <x:c r="B7" t="n">
        <x:v>5</x:v>
      </x:c>
      <x:c r="C7" t="str"/>
      <x:c r="D7" t="str"/>
    </x:row>
    <x:row r="8">
      <x:c r="A8" t="str"/>
      <x:c r="B8" t="str"/>
      <x:c r="C8" t="str"/>
      <x:c r="D8" t="str"/>
    </x:row>
  </x:sheetData>
  <x:pageMargins left="0.7" right="0.7" top="0.75" bottom="0.75" header="0.3" footer="0.3"/>
</x:worksheet>
</file>