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Dashboard" sheetId="1" state="visible" r:id="rId2"/>
    <sheet name="Lab Checklist" sheetId="2" state="visible" r:id="rId3"/>
    <sheet name="Roadmap" sheetId="3" state="visible" r:id="rId4"/>
    <sheet name="Capstones" sheetId="4" state="visible" r:id="rId5"/>
    <sheet name="Practice Log" sheetId="5" state="visible" r:id="rId6"/>
    <sheet name="Guide" sheetId="6" state="visible" r:id="rId7"/>
    <sheet name="Lists" sheetId="7" state="visible" r:id="rId8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<sst xmlns="http://schemas.openxmlformats.org/spreadsheetml/2006/main" count="533" uniqueCount="533">
  <si>
    <t xml:space="preserve">JNCIE-SP → Juniper SP Engineer Lab Roadmap</t>
  </si>
  <si>
    <t xml:space="preserve">Built for a CCIE R&amp;S engineer: compressed fundamentals, heavy Junos behavior, services, fault isolation, and production discipline.</t>
  </si>
  <si>
    <t xml:space="preserve">Total Labs</t>
  </si>
  <si>
    <t>Completed</t>
  </si>
  <si>
    <t xml:space="preserve">In Progress</t>
  </si>
  <si>
    <t xml:space="preserve">Total Hours</t>
  </si>
  <si>
    <t>Completion</t>
  </si>
  <si>
    <t xml:space="preserve">Hours Done</t>
  </si>
  <si>
    <t>Phase</t>
  </si>
  <si>
    <t>Labs</t>
  </si>
  <si>
    <t>Progress</t>
  </si>
  <si>
    <t xml:space="preserve">Recommended cadence</t>
  </si>
  <si>
    <t xml:space="preserve">1. Junos Core Skills</t>
  </si>
  <si>
    <t xml:space="preserve">5 days/week
• 2 build labs
• 1 troubleshooting rebuild
• 1 review/flashcard session
• 1 timed integration block
Do not mark complete until you can rebuild from a blank config, explain the control plane, prove the data plane, and repair a seeded fault without a recipe.</t>
  </si>
  <si>
    <t xml:space="preserve">2. IGP Engineering</t>
  </si>
  <si>
    <t xml:space="preserve">3. BGP at Scale</t>
  </si>
  <si>
    <t xml:space="preserve">4. MPLS Transport</t>
  </si>
  <si>
    <t xml:space="preserve">5. Segment Routing</t>
  </si>
  <si>
    <t xml:space="preserve">6. Layer 3 VPN</t>
  </si>
  <si>
    <t xml:space="preserve">7. Layer 2 Services</t>
  </si>
  <si>
    <t xml:space="preserve">8. EVPN</t>
  </si>
  <si>
    <t xml:space="preserve">9. Multicast</t>
  </si>
  <si>
    <t xml:space="preserve">10. CoS</t>
  </si>
  <si>
    <t xml:space="preserve">11. Operations &amp; Automation</t>
  </si>
  <si>
    <t xml:space="preserve">12. Expert Integration</t>
  </si>
  <si>
    <t xml:space="preserve">Lab ID</t>
  </si>
  <si>
    <t>Domain</t>
  </si>
  <si>
    <t>Track</t>
  </si>
  <si>
    <t xml:space="preserve">Lab / Scenario</t>
  </si>
  <si>
    <t xml:space="preserve">Mastery Outcome</t>
  </si>
  <si>
    <t xml:space="preserve">Suggested Topology</t>
  </si>
  <si>
    <t xml:space="preserve">Est. Hours</t>
  </si>
  <si>
    <t>Difficulty</t>
  </si>
  <si>
    <t>Priority</t>
  </si>
  <si>
    <t>Dependency</t>
  </si>
  <si>
    <t>Status</t>
  </si>
  <si>
    <t xml:space="preserve">Confidence (0-5)</t>
  </si>
  <si>
    <t xml:space="preserve">Evidence Link / Folder</t>
  </si>
  <si>
    <t xml:space="preserve">Completed Date</t>
  </si>
  <si>
    <t xml:space="preserve">Required Evidence</t>
  </si>
  <si>
    <t xml:space="preserve">Notes / Gap</t>
  </si>
  <si>
    <t>LAB-001</t>
  </si>
  <si>
    <t xml:space="preserve">Junos &amp; Platform</t>
  </si>
  <si>
    <t>Foundation</t>
  </si>
  <si>
    <t xml:space="preserve">Safe configuration workflow</t>
  </si>
  <si>
    <t xml:space="preserve">Use candidate configuration, compare, commit check, confirmed commit, rollback, rescue and configuration groups safely.</t>
  </si>
  <si>
    <t xml:space="preserve">Minimum 4–8 routers as needed; add CE/host/traffic-generator nodes for service validation.</t>
  </si>
  <si>
    <t>Intermediate</t>
  </si>
  <si>
    <t>Core</t>
  </si>
  <si>
    <t xml:space="preserve">☑ Completed</t>
  </si>
  <si>
    <t xml:space="preserve">Save configs, key show commands, packet/traffic proof, fault notes, and a short root-cause summary.</t>
  </si>
  <si>
    <t>LAB-002</t>
  </si>
  <si>
    <t xml:space="preserve">Hierarchy, inheritance and groups</t>
  </si>
  <si>
    <t xml:space="preserve">Build reusable groups, apply-groups-except, interface-range and inspect inherited configuration.</t>
  </si>
  <si>
    <t>LAB-003</t>
  </si>
  <si>
    <t xml:space="preserve">Operational CLI mastery</t>
  </si>
  <si>
    <t xml:space="preserve">Filter, match, count, display detail/extensive, monitor, request support information and save evidence efficiently.</t>
  </si>
  <si>
    <t xml:space="preserve">☐ Not Started</t>
  </si>
  <si>
    <t>LAB-004</t>
  </si>
  <si>
    <t xml:space="preserve">Routing tables and next-hop resolution</t>
  </si>
  <si>
    <t xml:space="preserve">Trace a route across inet.0, inet.3, mpls.0 and protocol-specific tables including hidden routes.</t>
  </si>
  <si>
    <t>LAB-005</t>
  </si>
  <si>
    <t xml:space="preserve">Policy language fundamentals</t>
  </si>
  <si>
    <t xml:space="preserve">Build deterministic term-based import/export policies using prefix lists, communities and subroutines.</t>
  </si>
  <si>
    <t>LAB-006</t>
  </si>
  <si>
    <t xml:space="preserve">Policy chains and default actions</t>
  </si>
  <si>
    <t xml:space="preserve">Prove accept/reject behavior across chained policies and protocol defaults.</t>
  </si>
  <si>
    <t>LAB-007</t>
  </si>
  <si>
    <t xml:space="preserve">RIB groups and instance import</t>
  </si>
  <si>
    <t xml:space="preserve">Leak selected routes between tables without accidental feedback loops.</t>
  </si>
  <si>
    <t>LAB-008</t>
  </si>
  <si>
    <t xml:space="preserve">Routing instances taxonomy</t>
  </si>
  <si>
    <t xml:space="preserve">Demonstrate virtual-router, forwarding, vrf, vpls and evpn instance behavior.</t>
  </si>
  <si>
    <t>LAB-009</t>
  </si>
  <si>
    <t xml:space="preserve">Junos automation basics</t>
  </si>
  <si>
    <t xml:space="preserve">Generate set-format config, use load merge/replace/override and validate repeatable deployments.</t>
  </si>
  <si>
    <t>LAB-010</t>
  </si>
  <si>
    <t xml:space="preserve">Platform observability</t>
  </si>
  <si>
    <t xml:space="preserve">Correlate RPD, kernel, interface, PFE and chassis state during a controlled fault.</t>
  </si>
  <si>
    <t>LAB-011</t>
  </si>
  <si>
    <t xml:space="preserve">OSPF &amp; IS-IS</t>
  </si>
  <si>
    <t xml:space="preserve">OSPF multi-area baseline</t>
  </si>
  <si>
    <t xml:space="preserve">Build areas 0, stub, totally stub and NSSA; validate LSDB scope and route preference.</t>
  </si>
  <si>
    <t>Advanced</t>
  </si>
  <si>
    <t>LAB-012</t>
  </si>
  <si>
    <t xml:space="preserve">OSPF route control</t>
  </si>
  <si>
    <t xml:space="preserve">Control internal, external and NSSA routes with export policy, metrics and tags.</t>
  </si>
  <si>
    <t>LAB-013</t>
  </si>
  <si>
    <t xml:space="preserve">OSPF adjacency edge cases</t>
  </si>
  <si>
    <t xml:space="preserve">Troubleshoot MTU, timer, authentication, network type, area and duplicate RID failures.</t>
  </si>
  <si>
    <t>LAB-014</t>
  </si>
  <si>
    <t xml:space="preserve">OSPF overload and protection</t>
  </si>
  <si>
    <t xml:space="preserve">Test overload, prefix suppression, passive interfaces, BFD and graceful restart behavior.</t>
  </si>
  <si>
    <t>LAB-015</t>
  </si>
  <si>
    <t xml:space="preserve">OSPF traffic engineering database</t>
  </si>
  <si>
    <t xml:space="preserve">Enable TE extensions and verify link attributes used by CSPF.</t>
  </si>
  <si>
    <t>LAB-016</t>
  </si>
  <si>
    <t xml:space="preserve">IS-IS L1/L2 baseline</t>
  </si>
  <si>
    <t xml:space="preserve">Build L1, L2 and L1/L2 domains; validate attached bit, leaking and default behavior.</t>
  </si>
  <si>
    <t>LAB-017</t>
  </si>
  <si>
    <t xml:space="preserve">IS-IS wide metrics and topology</t>
  </si>
  <si>
    <t xml:space="preserve">Use wide metrics, passive, point-to-point, reference bandwidth and multi-topology concepts.</t>
  </si>
  <si>
    <t>LAB-018</t>
  </si>
  <si>
    <t xml:space="preserve">IS-IS route leaking and policies</t>
  </si>
  <si>
    <t xml:space="preserve">Leak selected L2 routes to L1 and prevent suboptimal routing or loops.</t>
  </si>
  <si>
    <t>LAB-019</t>
  </si>
  <si>
    <t xml:space="preserve">IS-IS adjacency edge cases</t>
  </si>
  <si>
    <t xml:space="preserve">Troubleshoot ISO family, NET, level, MTU, authentication and interface-mode failures.</t>
  </si>
  <si>
    <t>LAB-020</t>
  </si>
  <si>
    <t xml:space="preserve">IS-IS overload and protection</t>
  </si>
  <si>
    <t xml:space="preserve">Test overload bit, prefix export, BFD, graceful restart and adjacency holddown.</t>
  </si>
  <si>
    <t>LAB-021</t>
  </si>
  <si>
    <t xml:space="preserve">IGP migration OSPF to IS-IS</t>
  </si>
  <si>
    <t xml:space="preserve">Migrate a live core with controlled preference and no service outage.</t>
  </si>
  <si>
    <t>LAB-022</t>
  </si>
  <si>
    <t xml:space="preserve">IGP convergence benchmark</t>
  </si>
  <si>
    <t xml:space="preserve">Measure failure detection, SPF, RIB and forwarding convergence under link/node faults.</t>
  </si>
  <si>
    <t>LAB-023</t>
  </si>
  <si>
    <t>BGP</t>
  </si>
  <si>
    <t xml:space="preserve">eBGP and iBGP policy baseline</t>
  </si>
  <si>
    <t xml:space="preserve">Build explicit import/export policy and prove Junos BGP default advertisement behavior.</t>
  </si>
  <si>
    <t>LAB-024</t>
  </si>
  <si>
    <t xml:space="preserve">BGP path selection laboratory</t>
  </si>
  <si>
    <t xml:space="preserve">Manipulate local preference, AS path, origin, MED, IGP cost and router ID one variable at a time.</t>
  </si>
  <si>
    <t>LAB-025</t>
  </si>
  <si>
    <t xml:space="preserve">Route reflection design</t>
  </si>
  <si>
    <t xml:space="preserve">Deploy redundant route reflectors, clusters and clients; prove loop prevention attributes.</t>
  </si>
  <si>
    <t>LAB-026</t>
  </si>
  <si>
    <t xml:space="preserve">BGP communities toolkit</t>
  </si>
  <si>
    <t xml:space="preserve">Use standard, large, extended and well-known communities for scalable policy.</t>
  </si>
  <si>
    <t>LAB-027</t>
  </si>
  <si>
    <t xml:space="preserve">BGP route damping and flap analysis</t>
  </si>
  <si>
    <t xml:space="preserve">Observe flap history and evaluate when damping is operationally harmful.</t>
  </si>
  <si>
    <t>LAB-028</t>
  </si>
  <si>
    <t xml:space="preserve">BGP multipath and add-path</t>
  </si>
  <si>
    <t xml:space="preserve">Compare equal-cost multipath, multiple-as and add-path visibility.</t>
  </si>
  <si>
    <t>LAB-029</t>
  </si>
  <si>
    <t xml:space="preserve">BGP graceful restart and NSR</t>
  </si>
  <si>
    <t xml:space="preserve">Test control-plane restart behavior and identify stale route risks.</t>
  </si>
  <si>
    <t>LAB-030</t>
  </si>
  <si>
    <t xml:space="preserve">BGP authentication and TTL security</t>
  </si>
  <si>
    <t xml:space="preserve">Secure sessions and troubleshoot MD5, TTL and source-address mismatch.</t>
  </si>
  <si>
    <t>LAB-031</t>
  </si>
  <si>
    <t xml:space="preserve">BGP prefix-limit safety</t>
  </si>
  <si>
    <t xml:space="preserve">Apply warning, teardown and idle-timeout behavior without causing collateral outages.</t>
  </si>
  <si>
    <t>LAB-032</t>
  </si>
  <si>
    <t xml:space="preserve">BGP labeled unicast</t>
  </si>
  <si>
    <t xml:space="preserve">Carry labeled IPv4 prefixes and inspect label allocation, resolution and forwarding.</t>
  </si>
  <si>
    <t>LAB-033</t>
  </si>
  <si>
    <t xml:space="preserve">BGP confederation scenario</t>
  </si>
  <si>
    <t xml:space="preserve">Build and troubleshoot a confederation and compare it with route reflection.</t>
  </si>
  <si>
    <t>LAB-034</t>
  </si>
  <si>
    <t xml:space="preserve">Internet edge policy capstone</t>
  </si>
  <si>
    <t xml:space="preserve">Implement customer, peer and transit policies with bogon filtering, RPKI-informed design and max-prefix controls.</t>
  </si>
  <si>
    <t>LAB-035</t>
  </si>
  <si>
    <t xml:space="preserve">MPLS, LDP &amp; RSVP</t>
  </si>
  <si>
    <t>Expert</t>
  </si>
  <si>
    <t xml:space="preserve">MPLS forwarding baseline</t>
  </si>
  <si>
    <t xml:space="preserve">Enable MPLS and trace label push, swap, PHP and explicit-null through mpls.0.</t>
  </si>
  <si>
    <t>LAB-036</t>
  </si>
  <si>
    <t xml:space="preserve">LDP transport LSP</t>
  </si>
  <si>
    <t xml:space="preserve">Build LDP over the IGP and verify FEC-label bindings and inet.3 resolution.</t>
  </si>
  <si>
    <t>LAB-037</t>
  </si>
  <si>
    <t xml:space="preserve">LDP synchronization</t>
  </si>
  <si>
    <t xml:space="preserve">Create a link-up race and prove IGP-LDP synchronization prevents blackholing.</t>
  </si>
  <si>
    <t>LAB-038</t>
  </si>
  <si>
    <t xml:space="preserve">LDP targeted sessions</t>
  </si>
  <si>
    <t xml:space="preserve">Build targeted LDP and troubleshoot transport-address reachability.</t>
  </si>
  <si>
    <t>LAB-039</t>
  </si>
  <si>
    <t xml:space="preserve">RSVP-TE dynamic LSP</t>
  </si>
  <si>
    <t xml:space="preserve">Build a CSPF-signaled LSP and interpret ERO, RRO, session and path state.</t>
  </si>
  <si>
    <t>LAB-040</t>
  </si>
  <si>
    <t xml:space="preserve">RSVP strict/loose explicit path</t>
  </si>
  <si>
    <t xml:space="preserve">Steer traffic using strict and loose hops and diagnose CSPF failures.</t>
  </si>
  <si>
    <t>LAB-041</t>
  </si>
  <si>
    <t xml:space="preserve">RSVP primary/secondary paths</t>
  </si>
  <si>
    <t xml:space="preserve">Test standby and active secondary behavior with revertive/nonrevertive operation.</t>
  </si>
  <si>
    <t>LAB-042</t>
  </si>
  <si>
    <t xml:space="preserve">RSVP fast reroute</t>
  </si>
  <si>
    <t xml:space="preserve">Compare one-to-one detours and facility bypass behavior under link and node failure.</t>
  </si>
  <si>
    <t>LAB-043</t>
  </si>
  <si>
    <t xml:space="preserve">RSVP bandwidth and priorities</t>
  </si>
  <si>
    <t xml:space="preserve">Model reservable bandwidth, setup/hold priority and preemption.</t>
  </si>
  <si>
    <t>LAB-044</t>
  </si>
  <si>
    <t xml:space="preserve">MPLS traffic engineering shortcuts</t>
  </si>
  <si>
    <t xml:space="preserve">Use forwarding adjacencies or LSP metrics to influence IP forwarding.</t>
  </si>
  <si>
    <t>LAB-045</t>
  </si>
  <si>
    <t xml:space="preserve">LSP load balancing</t>
  </si>
  <si>
    <t xml:space="preserve">Control per-prefix/per-packet behavior and inspect hashing implications.</t>
  </si>
  <si>
    <t>LAB-046</t>
  </si>
  <si>
    <t xml:space="preserve">MPLS OAM</t>
  </si>
  <si>
    <t xml:space="preserve">Use LSP ping, traceroute and BFD to isolate control-plane versus data-plane faults.</t>
  </si>
  <si>
    <t>LAB-047</t>
  </si>
  <si>
    <t xml:space="preserve">Entropy label and flow awareness</t>
  </si>
  <si>
    <t xml:space="preserve">Explain and validate label-stack effects on ECMP where platform support permits.</t>
  </si>
  <si>
    <t>LAB-048</t>
  </si>
  <si>
    <t xml:space="preserve">Transport migration LDP to RSVP</t>
  </si>
  <si>
    <t xml:space="preserve">Move services between transport types without breaking VPN resolution.</t>
  </si>
  <si>
    <t>LAB-049</t>
  </si>
  <si>
    <t>SR-MPLS</t>
  </si>
  <si>
    <t xml:space="preserve">Modern SP</t>
  </si>
  <si>
    <t xml:space="preserve">SR-MPLS IS-IS baseline</t>
  </si>
  <si>
    <t xml:space="preserve">Advertise node SIDs, verify SRGB consistency and trace label forwarding.</t>
  </si>
  <si>
    <t xml:space="preserve">Beyond Exam</t>
  </si>
  <si>
    <t>LAB-050</t>
  </si>
  <si>
    <t xml:space="preserve">SR prefix and adjacency SIDs</t>
  </si>
  <si>
    <t xml:space="preserve">Compare global prefix SIDs with local adjacency SIDs during failures.</t>
  </si>
  <si>
    <t>LAB-051</t>
  </si>
  <si>
    <t xml:space="preserve">SR-MPLS OSPF baseline</t>
  </si>
  <si>
    <t xml:space="preserve">Build an OSPF SR domain and validate SID advertisements and forwarding.</t>
  </si>
  <si>
    <t>LAB-052</t>
  </si>
  <si>
    <t xml:space="preserve">TI-LFA protection</t>
  </si>
  <si>
    <t xml:space="preserve">Demonstrate link and node protection and measure convergence.</t>
  </si>
  <si>
    <t>LAB-053</t>
  </si>
  <si>
    <t xml:space="preserve">SR policy and explicit segment list</t>
  </si>
  <si>
    <t xml:space="preserve">Steer selected traffic over a segment list and verify recursion.</t>
  </si>
  <si>
    <t>LAB-054</t>
  </si>
  <si>
    <t xml:space="preserve">BGP color and transport class</t>
  </si>
  <si>
    <t xml:space="preserve">Map color communities to transport intent and validate service resolution.</t>
  </si>
  <si>
    <t>LAB-055</t>
  </si>
  <si>
    <t xml:space="preserve">SR/LDP interworking</t>
  </si>
  <si>
    <t xml:space="preserve">Preserve reachability across mixed SR and LDP domains.</t>
  </si>
  <si>
    <t>LAB-056</t>
  </si>
  <si>
    <t xml:space="preserve">SR troubleshooting fault pack</t>
  </si>
  <si>
    <t xml:space="preserve">Repair duplicate SIDs, SRGB mismatch, missing advertisements and unresolved policies.</t>
  </si>
  <si>
    <t>LAB-057</t>
  </si>
  <si>
    <t>L3VPN</t>
  </si>
  <si>
    <t xml:space="preserve">Single-homed L3VPN baseline</t>
  </si>
  <si>
    <t xml:space="preserve">Build VRF, RD, RT, PE-CE routing and verify VPN label forwarding.</t>
  </si>
  <si>
    <t>LAB-058</t>
  </si>
  <si>
    <t xml:space="preserve">L3VPN OSPF PE-CE</t>
  </si>
  <si>
    <t xml:space="preserve">Control domain ID, sham links, route type and DN-bit loop prevention.</t>
  </si>
  <si>
    <t>LAB-059</t>
  </si>
  <si>
    <t xml:space="preserve">L3VPN BGP PE-CE</t>
  </si>
  <si>
    <t xml:space="preserve">Apply AS override, as-override alternatives, allowas-in concepts and site-of-origin.</t>
  </si>
  <si>
    <t>LAB-060</t>
  </si>
  <si>
    <t xml:space="preserve">L3VPN route leaking</t>
  </si>
  <si>
    <t xml:space="preserve">Implement controlled extranet import/export with unique policy and loop protection.</t>
  </si>
  <si>
    <t>LAB-061</t>
  </si>
  <si>
    <t xml:space="preserve">Hub-and-spoke L3VPN</t>
  </si>
  <si>
    <t xml:space="preserve">Build directional RT policy and prove spoke-to-spoke forwarding constraints.</t>
  </si>
  <si>
    <t>LAB-062</t>
  </si>
  <si>
    <t xml:space="preserve">L3VPN load balancing and multihoming</t>
  </si>
  <si>
    <t xml:space="preserve">Test CE dual-homing, multipath, site-of-origin and failure behavior.</t>
  </si>
  <si>
    <t>LAB-063</t>
  </si>
  <si>
    <t xml:space="preserve">VRF route limit and protection</t>
  </si>
  <si>
    <t xml:space="preserve">Enforce limits and analyze operational recovery.</t>
  </si>
  <si>
    <t>LAB-064</t>
  </si>
  <si>
    <t xml:space="preserve">L3VPN troubleshooting fault pack</t>
  </si>
  <si>
    <t xml:space="preserve">Repair RT, RD, label, inet.3, policy, PE-CE and next-hop failures.</t>
  </si>
  <si>
    <t>LAB-065</t>
  </si>
  <si>
    <t xml:space="preserve">Carrier supporting carrier</t>
  </si>
  <si>
    <t xml:space="preserve">Carry customer-carrier labeled routes across a provider L3VPN.</t>
  </si>
  <si>
    <t>LAB-066</t>
  </si>
  <si>
    <t xml:space="preserve">Inter-AS option A</t>
  </si>
  <si>
    <t xml:space="preserve">Build back-to-back VRFs and document scale and operational boundaries.</t>
  </si>
  <si>
    <t>LAB-067</t>
  </si>
  <si>
    <t xml:space="preserve">Inter-AS option B</t>
  </si>
  <si>
    <t xml:space="preserve">Exchange VPNv4 routes and labels at ASBRs with correct policy.</t>
  </si>
  <si>
    <t>LAB-068</t>
  </si>
  <si>
    <t xml:space="preserve">Inter-AS option C</t>
  </si>
  <si>
    <t xml:space="preserve">Build labeled PE reachability and multihop VPN route exchange end to end.</t>
  </si>
  <si>
    <t>LAB-069</t>
  </si>
  <si>
    <t xml:space="preserve">L2VPN &amp; VPLS</t>
  </si>
  <si>
    <t xml:space="preserve">LDP pseudowire baseline</t>
  </si>
  <si>
    <t xml:space="preserve">Build an l2circuit and verify VC label, status TLV and control word.</t>
  </si>
  <si>
    <t>LAB-070</t>
  </si>
  <si>
    <t xml:space="preserve">Pseudowire FEC 128 versus 129</t>
  </si>
  <si>
    <t xml:space="preserve">Compare signaling behavior and troubleshoot endpoint identification.</t>
  </si>
  <si>
    <t>LAB-071</t>
  </si>
  <si>
    <t xml:space="preserve">Pseudowire redundancy</t>
  </si>
  <si>
    <t xml:space="preserve">Build primary/backup pseudowires and validate switchover.</t>
  </si>
  <si>
    <t>LAB-072</t>
  </si>
  <si>
    <t xml:space="preserve">BGP-signaled L2VPN</t>
  </si>
  <si>
    <t xml:space="preserve">Deploy Kompella L2VPN and interpret NLRI, labels and site identifiers.</t>
  </si>
  <si>
    <t>LAB-073</t>
  </si>
  <si>
    <t xml:space="preserve">LDP VPLS</t>
  </si>
  <si>
    <t xml:space="preserve">Build Martini-signaled VPLS and verify MAC learning and split horizon.</t>
  </si>
  <si>
    <t>LAB-074</t>
  </si>
  <si>
    <t xml:space="preserve">BGP VPLS</t>
  </si>
  <si>
    <t xml:space="preserve">Build BGP auto-discovery/signaling VPLS and analyze label blocks.</t>
  </si>
  <si>
    <t>LAB-075</t>
  </si>
  <si>
    <t xml:space="preserve">VPLS multihoming</t>
  </si>
  <si>
    <t xml:space="preserve">Prevent loops and test designated-forwarder/site preference behavior.</t>
  </si>
  <si>
    <t>LAB-076</t>
  </si>
  <si>
    <t xml:space="preserve">L2 service interworking</t>
  </si>
  <si>
    <t xml:space="preserve">Test VLAN normalization, encapsulation mismatch, MTU and control-word faults.</t>
  </si>
  <si>
    <t>LAB-077</t>
  </si>
  <si>
    <t xml:space="preserve">L2VPN troubleshooting fault pack</t>
  </si>
  <si>
    <t xml:space="preserve">Repair VC ID, encapsulation, label, signaling, MTU and transport defects.</t>
  </si>
  <si>
    <t>LAB-078</t>
  </si>
  <si>
    <t>EVPN</t>
  </si>
  <si>
    <t xml:space="preserve">EVPN route types inspection</t>
  </si>
  <si>
    <t xml:space="preserve">Generate and interpret route types 1 through 5 and their extended communities.</t>
  </si>
  <si>
    <t>LAB-079</t>
  </si>
  <si>
    <t>EVPN-VPWS</t>
  </si>
  <si>
    <t xml:space="preserve">Build point-to-point EVPN service and validate per-EVI/per-AC label behavior.</t>
  </si>
  <si>
    <t>LAB-080</t>
  </si>
  <si>
    <t xml:space="preserve">EVPN MPLS VLAN-based service</t>
  </si>
  <si>
    <t xml:space="preserve">Build VLAN-based EVPN and trace MAC/IP advertisement and forwarding.</t>
  </si>
  <si>
    <t>LAB-081</t>
  </si>
  <si>
    <t xml:space="preserve">EVPN MPLS VLAN-aware bundle</t>
  </si>
  <si>
    <t xml:space="preserve">Map multiple bridge domains into one EVI and verify label/service isolation.</t>
  </si>
  <si>
    <t>LAB-082</t>
  </si>
  <si>
    <t xml:space="preserve">EVPN all-active multihoming</t>
  </si>
  <si>
    <t xml:space="preserve">Build ESI-LAG, DF election, aliasing and mass withdrawal.</t>
  </si>
  <si>
    <t>LAB-083</t>
  </si>
  <si>
    <t xml:space="preserve">EVPN single-active multihoming</t>
  </si>
  <si>
    <t xml:space="preserve">Prove blocked/active attachment behavior and failure recovery.</t>
  </si>
  <si>
    <t>LAB-084</t>
  </si>
  <si>
    <t xml:space="preserve">EVPN IRB and type-5 routes</t>
  </si>
  <si>
    <t xml:space="preserve">Build symmetric routing and exchange IP prefixes between EVPN tenants.</t>
  </si>
  <si>
    <t>LAB-085</t>
  </si>
  <si>
    <t xml:space="preserve">EVPN MAC mobility</t>
  </si>
  <si>
    <t xml:space="preserve">Move a host, observe sequence changes and distinguish legitimate moves from loops.</t>
  </si>
  <si>
    <t>LAB-086</t>
  </si>
  <si>
    <t xml:space="preserve">EVPN duplicate MAC detection</t>
  </si>
  <si>
    <t xml:space="preserve">Trigger, observe and recover from duplicate MAC protection.</t>
  </si>
  <si>
    <t>LAB-087</t>
  </si>
  <si>
    <t xml:space="preserve">EVPN troubleshooting fault pack</t>
  </si>
  <si>
    <t xml:space="preserve">Repair RT, ESI, DF, VLAN, label, MAC and underlay-resolution failures.</t>
  </si>
  <si>
    <t>LAB-088</t>
  </si>
  <si>
    <t xml:space="preserve">Multicast &amp; MVPN</t>
  </si>
  <si>
    <t xml:space="preserve">PIM sparse mode baseline</t>
  </si>
  <si>
    <t xml:space="preserve">Build PIM-SM, IGMP receivers and verify RPT-to-SPT transition.</t>
  </si>
  <si>
    <t>LAB-089</t>
  </si>
  <si>
    <t xml:space="preserve">Static RP and Anycast-RP</t>
  </si>
  <si>
    <t xml:space="preserve">Deploy resilient RP service and validate register/MSDP behavior where applicable.</t>
  </si>
  <si>
    <t>LAB-090</t>
  </si>
  <si>
    <t xml:space="preserve">BSR dynamic RP</t>
  </si>
  <si>
    <t xml:space="preserve">Build candidate BSR/RP election and troubleshoot scope and hash behavior.</t>
  </si>
  <si>
    <t>LAB-091</t>
  </si>
  <si>
    <t>SSM</t>
  </si>
  <si>
    <t xml:space="preserve">Deploy source-specific multicast and validate IGMPv3 include-mode joins.</t>
  </si>
  <si>
    <t>LAB-092</t>
  </si>
  <si>
    <t xml:space="preserve">Multicast policy and boundaries</t>
  </si>
  <si>
    <t xml:space="preserve">Control groups, sources and interfaces with explicit policy.</t>
  </si>
  <si>
    <t>LAB-093</t>
  </si>
  <si>
    <t xml:space="preserve">Multicast troubleshooting fault pack</t>
  </si>
  <si>
    <t xml:space="preserve">Repair RPF, RP, PIM adjacency, IGMP, TTL and policy defects.</t>
  </si>
  <si>
    <t>LAB-094</t>
  </si>
  <si>
    <t xml:space="preserve">NG-MVPN baseline</t>
  </si>
  <si>
    <t xml:space="preserve">Build an MVPN and identify auto-discovery, C-multicast and PMSI routes.</t>
  </si>
  <si>
    <t>LAB-095</t>
  </si>
  <si>
    <t xml:space="preserve">MVPN selective trees</t>
  </si>
  <si>
    <t xml:space="preserve">Trigger S-PMSI behavior and assess bandwidth versus state tradeoffs.</t>
  </si>
  <si>
    <t>LAB-096</t>
  </si>
  <si>
    <t xml:space="preserve">MVPN inter-AS concept lab</t>
  </si>
  <si>
    <t xml:space="preserve">Validate multicast VPN signaling across an AS boundary where image support permits.</t>
  </si>
  <si>
    <t>LAB-097</t>
  </si>
  <si>
    <t xml:space="preserve">Class of Service</t>
  </si>
  <si>
    <t xml:space="preserve">CoS classification baseline</t>
  </si>
  <si>
    <t xml:space="preserve">Classify traffic using DSCP/MPLS EXP and verify forwarding-class counters.</t>
  </si>
  <si>
    <t>LAB-098</t>
  </si>
  <si>
    <t xml:space="preserve">Multifield classification</t>
  </si>
  <si>
    <t xml:space="preserve">Match header fields and apply policers safely.</t>
  </si>
  <si>
    <t>LAB-099</t>
  </si>
  <si>
    <t xml:space="preserve">Rewrite rules</t>
  </si>
  <si>
    <t xml:space="preserve">Preserve or translate DSCP and EXP across IP/MPLS boundaries.</t>
  </si>
  <si>
    <t>LAB-100</t>
  </si>
  <si>
    <t xml:space="preserve">Schedulers and scheduler maps</t>
  </si>
  <si>
    <t xml:space="preserve">Configure priority, transmit rate, shaping and buffer behavior.</t>
  </si>
  <si>
    <t>LAB-101</t>
  </si>
  <si>
    <t xml:space="preserve">Hierarchical CoS design</t>
  </si>
  <si>
    <t xml:space="preserve">Model subscriber/service hierarchy where platform support permits.</t>
  </si>
  <si>
    <t>LAB-102</t>
  </si>
  <si>
    <t xml:space="preserve">CoS congestion experiment</t>
  </si>
  <si>
    <t xml:space="preserve">Generate contention and prove loss, latency and queue behavior per class.</t>
  </si>
  <si>
    <t>LAB-103</t>
  </si>
  <si>
    <t xml:space="preserve">CoS troubleshooting fault pack</t>
  </si>
  <si>
    <t xml:space="preserve">Repair classifier, rewrite, scheduler-map and interface attachment errors.</t>
  </si>
  <si>
    <t>LAB-104</t>
  </si>
  <si>
    <t>Operations</t>
  </si>
  <si>
    <t>Production</t>
  </si>
  <si>
    <t xml:space="preserve">Firewall filters and policers</t>
  </si>
  <si>
    <t xml:space="preserve">Protect routing engine and service interfaces with auditable stateless filters.</t>
  </si>
  <si>
    <t>LAB-105</t>
  </si>
  <si>
    <t xml:space="preserve">Routing Engine protection</t>
  </si>
  <si>
    <t xml:space="preserve">Design lo0 filters for BGP, IGP, LDP, RSVP, BFD, SSH and management traffic.</t>
  </si>
  <si>
    <t>LAB-106</t>
  </si>
  <si>
    <t xml:space="preserve">RPM and event policy</t>
  </si>
  <si>
    <t xml:space="preserve">Measure reachability and trigger a safe operational response.</t>
  </si>
  <si>
    <t>LAB-107</t>
  </si>
  <si>
    <t xml:space="preserve">Telemetry and streaming data</t>
  </si>
  <si>
    <t xml:space="preserve">Expose useful interface, routing and system telemetry to a collector.</t>
  </si>
  <si>
    <t>LAB-108</t>
  </si>
  <si>
    <t xml:space="preserve">NETCONF configuration workflow</t>
  </si>
  <si>
    <t xml:space="preserve">Retrieve, compare, edit and commit configuration programmatically.</t>
  </si>
  <si>
    <t>LAB-109</t>
  </si>
  <si>
    <t xml:space="preserve">PyEZ state validation</t>
  </si>
  <si>
    <t xml:space="preserve">Build a small validator for adjacencies, routes and labels.</t>
  </si>
  <si>
    <t>LAB-110</t>
  </si>
  <si>
    <t xml:space="preserve">Configuration compliance</t>
  </si>
  <si>
    <t xml:space="preserve">Detect drift against a golden baseline without overwriting intended exceptions.</t>
  </si>
  <si>
    <t>LAB-111</t>
  </si>
  <si>
    <t xml:space="preserve">Upgrade and rollback rehearsal</t>
  </si>
  <si>
    <t xml:space="preserve">Plan and simulate prechecks, maintenance validation and rollback decision points.</t>
  </si>
  <si>
    <t>LAB-112</t>
  </si>
  <si>
    <t xml:space="preserve">Incident evidence collection</t>
  </si>
  <si>
    <t xml:space="preserve">Capture timestamped control-plane and data-plane evidence before changing config.</t>
  </si>
  <si>
    <t>LAB-113</t>
  </si>
  <si>
    <t xml:space="preserve">Postmortem laboratory</t>
  </si>
  <si>
    <t xml:space="preserve">Write timeline, root cause, contributing factors and corrective actions from a seeded outage.</t>
  </si>
  <si>
    <t>LAB-114</t>
  </si>
  <si>
    <t xml:space="preserve">Integrated Troubleshooting</t>
  </si>
  <si>
    <t>Capstone</t>
  </si>
  <si>
    <t xml:space="preserve">Broken core: IGP plus MPLS</t>
  </si>
  <si>
    <t xml:space="preserve">Restore an eight-router core containing multiple interacting IGP and label-distribution faults.</t>
  </si>
  <si>
    <t>LAB-115</t>
  </si>
  <si>
    <t xml:space="preserve">Broken L3VPN service</t>
  </si>
  <si>
    <t xml:space="preserve">Restore several VPN sites while preserving route isolation and documenting root cause.</t>
  </si>
  <si>
    <t>LAB-116</t>
  </si>
  <si>
    <t xml:space="preserve">Broken L2VPN and EVPN services</t>
  </si>
  <si>
    <t xml:space="preserve">Restore pseudowire, VPLS and EVPN tenants with overlapping symptoms.</t>
  </si>
  <si>
    <t>LAB-117</t>
  </si>
  <si>
    <t xml:space="preserve">Brownfield policy change</t>
  </si>
  <si>
    <t xml:space="preserve">Introduce a new customer and transit policy with validation and rollback.</t>
  </si>
  <si>
    <t>LAB-118</t>
  </si>
  <si>
    <t xml:space="preserve">Convergence optimization</t>
  </si>
  <si>
    <t xml:space="preserve">Reduce measured outage during link and node failures without unstable timers.</t>
  </si>
  <si>
    <t>LAB-119</t>
  </si>
  <si>
    <t xml:space="preserve">Scale test</t>
  </si>
  <si>
    <t xml:space="preserve">Generate large route/MAC sets, observe control-plane load and establish safe thresholds.</t>
  </si>
  <si>
    <t>LAB-120</t>
  </si>
  <si>
    <t xml:space="preserve">8-hour mock exam 1</t>
  </si>
  <si>
    <t xml:space="preserve">Complete a timed build-and-troubleshoot scenario with no external notes beyond permitted references.</t>
  </si>
  <si>
    <t>LAB-121</t>
  </si>
  <si>
    <t xml:space="preserve">8-hour mock exam 2</t>
  </si>
  <si>
    <t xml:space="preserve">Repeat with a fresh topology and close every gap found in mock exam 1.</t>
  </si>
  <si>
    <t>LAB-122</t>
  </si>
  <si>
    <t xml:space="preserve">Production design review</t>
  </si>
  <si>
    <t xml:space="preserve">Defend architecture, failure domains, capacity, security and operational model to a peer reviewer.</t>
  </si>
  <si>
    <t>LAB-123</t>
  </si>
  <si>
    <t xml:space="preserve">Final blind troubleshooting</t>
  </si>
  <si>
    <t xml:space="preserve">Diagnose an unseen fault set using hypothesis, evidence, minimal change and verification.</t>
  </si>
  <si>
    <t xml:space="preserve">Technology-Based Progression</t>
  </si>
  <si>
    <t xml:space="preserve">Primary Goal</t>
  </si>
  <si>
    <t xml:space="preserve">Exit Gate</t>
  </si>
  <si>
    <t xml:space="preserve">Suggested Weeks</t>
  </si>
  <si>
    <t xml:space="preserve">Why It Matters</t>
  </si>
  <si>
    <t xml:space="preserve">Rebuild representative Junos &amp; Platform services from blank config and repair at least 3 seeded faults.</t>
  </si>
  <si>
    <t xml:space="preserve">Develop expert implementation and troubleshooting depth.</t>
  </si>
  <si>
    <t xml:space="preserve">Rebuild representative OSPF &amp; IS-IS services from blank config and repair at least 3 seeded faults.</t>
  </si>
  <si>
    <t xml:space="preserve">Rebuild representative BGP services from blank config and repair at least 3 seeded faults.</t>
  </si>
  <si>
    <t xml:space="preserve">Rebuild representative MPLS, LDP &amp; RSVP services from blank config and repair at least 3 seeded faults.</t>
  </si>
  <si>
    <t xml:space="preserve">Rebuild representative SR-MPLS services from blank config and repair at least 3 seeded faults.</t>
  </si>
  <si>
    <t xml:space="preserve">Build modern relevance beyond the classic blueprint.</t>
  </si>
  <si>
    <t xml:space="preserve">Rebuild representative L3VPN services from blank config and repair at least 3 seeded faults.</t>
  </si>
  <si>
    <t xml:space="preserve">Rebuild representative L2VPN &amp; VPLS services from blank config and repair at least 3 seeded faults.</t>
  </si>
  <si>
    <t xml:space="preserve">Rebuild representative EVPN services from blank config and repair at least 3 seeded faults.</t>
  </si>
  <si>
    <t xml:space="preserve">Rebuild representative Multicast &amp; MVPN services from blank config and repair at least 3 seeded faults.</t>
  </si>
  <si>
    <t xml:space="preserve">Rebuild representative Class of Service services from blank config and repair at least 3 seeded faults.</t>
  </si>
  <si>
    <t xml:space="preserve">Rebuild representative Operations services from blank config and repair at least 3 seeded faults.</t>
  </si>
  <si>
    <t xml:space="preserve">Turn configuration skill into safe operations.</t>
  </si>
  <si>
    <t xml:space="preserve">Complete two 8-hour mocks ≥80% and pass blind troubleshooting review.</t>
  </si>
  <si>
    <t xml:space="preserve">Capstone &amp; Timed Practice Scorecard</t>
  </si>
  <si>
    <t>Attempt</t>
  </si>
  <si>
    <t>Scenario</t>
  </si>
  <si>
    <t>Date</t>
  </si>
  <si>
    <t xml:space="preserve">Build %</t>
  </si>
  <si>
    <t xml:space="preserve">Troubleshoot %</t>
  </si>
  <si>
    <t xml:space="preserve">Verification %</t>
  </si>
  <si>
    <t xml:space="preserve">Time Mgmt %</t>
  </si>
  <si>
    <t xml:space="preserve">Overall %</t>
  </si>
  <si>
    <t xml:space="preserve">IGP + MPLS core</t>
  </si>
  <si>
    <t xml:space="preserve">BGP + L3VPN</t>
  </si>
  <si>
    <t xml:space="preserve">L2VPN + EVPN</t>
  </si>
  <si>
    <t xml:space="preserve">Multicast + CoS</t>
  </si>
  <si>
    <t xml:space="preserve">8-hour Mock Exam 1</t>
  </si>
  <si>
    <t xml:space="preserve">8-hour Mock Exam 2</t>
  </si>
  <si>
    <t xml:space="preserve">Blind Troubleshooting 1</t>
  </si>
  <si>
    <t xml:space="preserve">Blind Troubleshooting 2</t>
  </si>
  <si>
    <t xml:space="preserve">Pass gate: ≥80% overall, no critical reachability/isolation defect, and every change backed by pre-check, verification, and rollback.</t>
  </si>
  <si>
    <t>Minutes</t>
  </si>
  <si>
    <t>Mode</t>
  </si>
  <si>
    <t>Result</t>
  </si>
  <si>
    <t xml:space="preserve">Fault / Gap Found</t>
  </si>
  <si>
    <t xml:space="preserve">Root Cause</t>
  </si>
  <si>
    <t xml:space="preserve">Next Action</t>
  </si>
  <si>
    <t xml:space="preserve">Evidence Link</t>
  </si>
  <si>
    <t xml:space="preserve">Revisit Date</t>
  </si>
  <si>
    <t>Build</t>
  </si>
  <si>
    <t xml:space="preserve">How to Use This Workbook</t>
  </si>
  <si>
    <t>Step</t>
  </si>
  <si>
    <t>Action</t>
  </si>
  <si>
    <t>Standard</t>
  </si>
  <si>
    <t>1</t>
  </si>
  <si>
    <t>Select</t>
  </si>
  <si>
    <t xml:space="preserve">Start with Lab Checklist filtered to Priority = Core and Status = Not Started.</t>
  </si>
  <si>
    <t>2</t>
  </si>
  <si>
    <t xml:space="preserve">Configure from a blank or minimal baseline. Do not paste a full solution.</t>
  </si>
  <si>
    <t>3</t>
  </si>
  <si>
    <t>Explain</t>
  </si>
  <si>
    <t xml:space="preserve">For each protocol, explain adjacency/session formation, route/label learning, best-path choice and forwarding.</t>
  </si>
  <si>
    <t>4</t>
  </si>
  <si>
    <t>Prove</t>
  </si>
  <si>
    <t xml:space="preserve">Validate both control plane and data plane. A route in a table is not enough.</t>
  </si>
  <si>
    <t>5</t>
  </si>
  <si>
    <t>Break</t>
  </si>
  <si>
    <t xml:space="preserve">Seed at least one fault after the clean build. Record hypothesis before changing configuration.</t>
  </si>
  <si>
    <t>6</t>
  </si>
  <si>
    <t>Recover</t>
  </si>
  <si>
    <t xml:space="preserve">Apply the smallest safe change, verify service restoration and document rollback.</t>
  </si>
  <si>
    <t>7</t>
  </si>
  <si>
    <t>Record</t>
  </si>
  <si>
    <t xml:space="preserve">Attach configs, command output, packet/traffic result and root-cause note in Evidence Link / Folder.</t>
  </si>
  <si>
    <t>8</t>
  </si>
  <si>
    <t>Complete</t>
  </si>
  <si>
    <t xml:space="preserve">Mark ☑ only when confidence is ≥4 and you can repeat the lab without a recipe.</t>
  </si>
  <si>
    <t>9</t>
  </si>
  <si>
    <t>Revisit</t>
  </si>
  <si>
    <t xml:space="preserve">Use ↻ when knowledge decays or a mock exam exposes a gap.</t>
  </si>
  <si>
    <t>10</t>
  </si>
  <si>
    <t>Integrate</t>
  </si>
  <si>
    <t xml:space="preserve">After each major phase, perform a mixed fault lab before moving on.</t>
  </si>
  <si>
    <t xml:space="preserve">Definition of Mastery</t>
  </si>
  <si>
    <t>Dimension</t>
  </si>
  <si>
    <t xml:space="preserve">Completion Gate</t>
  </si>
  <si>
    <t xml:space="preserve">Control plane</t>
  </si>
  <si>
    <t xml:space="preserve">Can predict and verify protocol state, advertisements, policy effects and failure behavior.</t>
  </si>
  <si>
    <t xml:space="preserve">Data plane</t>
  </si>
  <si>
    <t xml:space="preserve">Can trace packet/label forwarding end to end and reconcile it with control-plane state.</t>
  </si>
  <si>
    <t>Troubleshooting</t>
  </si>
  <si>
    <t xml:space="preserve">Uses hypothesis → evidence → minimal change → verification; does not “shotgun” configuration.</t>
  </si>
  <si>
    <t xml:space="preserve">Captures prechecks, blast radius, rollback, postchecks and evidence.</t>
  </si>
  <si>
    <t>Repeatability</t>
  </si>
  <si>
    <t xml:space="preserve">Can rebuild from blank config and automate or template repetitive elements.</t>
  </si>
  <si>
    <t>Communication</t>
  </si>
  <si>
    <t xml:space="preserve">Can explain the design and root cause clearly to another senior engineer.</t>
  </si>
  <si>
    <t xml:space="preserve">Official references: https://www.juniper.net/us/en/training/certification/tracks/service-provider-routing-switching/jncie-sp.html | https://learningportal.juniper.net/juniper/user_activity_info.aspx?id=EDU-JUN-JOL-JNCIE-SP | https://www.juniper.net/documentation/us/en/software/junos/mpls/mpls.pdf</t>
  </si>
  <si>
    <t>Confidence</t>
  </si>
  <si>
    <t xml:space="preserve">◐ In Progress</t>
  </si>
  <si>
    <t xml:space="preserve">↻ Revisit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</si>
</sst>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>
    <font>
      <sz val="10.000000"/>
      <name val="Arial"/>
    </font>
    <font>
      <sz val="11.000000"/>
      <name val="Calibri"/>
    </font>
    <font>
      <b/>
      <sz val="22.000000"/>
      <color indexed="65"/>
      <name val="Aptos Display"/>
    </font>
    <font>
      <i/>
      <sz val="11.000000"/>
      <color rgb="FF17365D"/>
      <name val="Calibri"/>
    </font>
    <font>
      <b/>
      <sz val="11.000000"/>
      <color indexed="65"/>
      <name val="Calibri"/>
    </font>
    <font>
      <b/>
      <sz val="18.000000"/>
      <color rgb="FF17365D"/>
      <name val="Calibri"/>
    </font>
    <font>
      <sz val="11.000000"/>
      <color rgb="FF7F6000"/>
      <name val="Calibri"/>
    </font>
    <font>
      <b/>
      <sz val="10.000000"/>
      <color indexed="65"/>
      <name val="Aptos"/>
    </font>
    <font>
      <sz val="10.000000"/>
      <color rgb="FF172033"/>
      <name val="Aptos"/>
    </font>
    <font>
      <b/>
      <sz val="20.000000"/>
      <color indexed="65"/>
      <name val="Calibri"/>
    </font>
    <font>
      <b/>
      <sz val="11.000000"/>
      <color rgb="FF7F6000"/>
      <name val="Calibri"/>
    </font>
    <font>
      <sz val="9.000000"/>
      <color rgb="FF38572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1F33"/>
        <bgColor rgb="FF172033"/>
      </patternFill>
    </fill>
    <fill>
      <patternFill patternType="solid">
        <fgColor rgb="FFD9EAF7"/>
        <bgColor rgb="FFD9E2F3"/>
      </patternFill>
    </fill>
    <fill>
      <patternFill patternType="solid">
        <fgColor rgb="FF4472C4"/>
        <bgColor indexed="54"/>
      </patternFill>
    </fill>
    <fill>
      <patternFill patternType="solid">
        <fgColor rgb="FFF4F8FC"/>
        <bgColor indexed="65"/>
      </patternFill>
    </fill>
    <fill>
      <patternFill patternType="solid">
        <fgColor rgb="FF17365D"/>
        <bgColor rgb="FF172033"/>
      </patternFill>
    </fill>
    <fill>
      <patternFill patternType="solid">
        <fgColor rgb="FFED7D31"/>
        <bgColor indexed="2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</fills>
  <borders count="14">
    <border>
      <left style="none"/>
      <right style="none"/>
      <top style="none"/>
      <bottom style="none"/>
      <diagonal style="none"/>
    </border>
    <border>
      <left style="medium">
        <color rgb="FF5B9BD5"/>
      </left>
      <right style="none"/>
      <top style="medium">
        <color rgb="FF5B9BD5"/>
      </top>
      <bottom style="none"/>
      <diagonal style="none"/>
    </border>
    <border>
      <left style="none"/>
      <right style="medium">
        <color rgb="FF5B9BD5"/>
      </right>
      <top style="medium">
        <color rgb="FF5B9BD5"/>
      </top>
      <bottom style="none"/>
      <diagonal style="none"/>
    </border>
    <border>
      <left style="medium">
        <color rgb="FF5B9BD5"/>
      </left>
      <right style="none"/>
      <top style="none"/>
      <bottom style="medium">
        <color rgb="FF5B9BD5"/>
      </bottom>
      <diagonal style="none"/>
    </border>
    <border>
      <left style="none"/>
      <right style="medium">
        <color rgb="FF5B9BD5"/>
      </right>
      <top style="none"/>
      <bottom style="medium">
        <color rgb="FF5B9BD5"/>
      </bottom>
      <diagonal style="none"/>
    </border>
    <border>
      <left style="none"/>
      <right style="thin">
        <color rgb="FFD9E2F3"/>
      </right>
      <top style="none"/>
      <bottom style="thin">
        <color rgb="FFD9E2F3"/>
      </bottom>
      <diagonal style="none"/>
    </border>
    <border>
      <left style="thin">
        <color rgb="FFD9E2F3"/>
      </left>
      <right style="thin">
        <color rgb="FFD9E2F3"/>
      </right>
      <top style="none"/>
      <bottom style="thin">
        <color rgb="FFD9E2F3"/>
      </bottom>
      <diagonal style="none"/>
    </border>
    <border>
      <left style="thin">
        <color rgb="FFD9E2F3"/>
      </left>
      <right style="none"/>
      <top style="none"/>
      <bottom style="thin">
        <color rgb="FFD9E2F3"/>
      </bottom>
      <diagonal style="none"/>
    </border>
    <border>
      <left style="none"/>
      <right style="thin">
        <color rgb="FFD9E2F3"/>
      </right>
      <top style="thin">
        <color rgb="FFD9E2F3"/>
      </top>
      <bottom style="thin">
        <color rgb="FFD9E2F3"/>
      </bottom>
      <diagonal style="none"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 style="none"/>
    </border>
    <border>
      <left style="thin">
        <color rgb="FFD9E2F3"/>
      </left>
      <right style="none"/>
      <top style="thin">
        <color rgb="FFD9E2F3"/>
      </top>
      <bottom style="thin">
        <color rgb="FFD9E2F3"/>
      </bottom>
      <diagonal style="none"/>
    </border>
    <border>
      <left style="none"/>
      <right style="thin">
        <color rgb="FFD9E2F3"/>
      </right>
      <top style="thin">
        <color rgb="FFD9E2F3"/>
      </top>
      <bottom style="none"/>
      <diagonal style="none"/>
    </border>
    <border>
      <left style="thin">
        <color rgb="FFD9E2F3"/>
      </left>
      <right style="thin">
        <color rgb="FFD9E2F3"/>
      </right>
      <top style="thin">
        <color rgb="FFD9E2F3"/>
      </top>
      <bottom style="none"/>
      <diagonal style="none"/>
    </border>
    <border>
      <left style="thin">
        <color rgb="FFD9E2F3"/>
      </left>
      <right style="none"/>
      <top style="thin">
        <color rgb="FFD9E2F3"/>
      </top>
      <bottom style="none"/>
      <diagonal style="none"/>
    </border>
  </borders>
  <cellStyleXfs count="7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  <xf fontId="1" fillId="0" borderId="0" numFmtId="0" applyNumberFormat="1" applyFont="1" applyFill="1" applyBorder="1" applyProtection="1">
      <protection hidden="0" locked="1"/>
    </xf>
  </cellStyleXfs>
  <cellXfs count="33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2" borderId="0" numFmtId="0" xfId="6" applyFont="1" applyFill="1" applyAlignment="1" applyProtection="1">
      <alignment vertical="center"/>
      <protection hidden="0" locked="1"/>
    </xf>
    <xf fontId="3" fillId="3" borderId="0" numFmtId="0" xfId="6" applyFont="1" applyFill="1" applyAlignment="1" applyProtection="1">
      <alignment wrapText="1"/>
      <protection hidden="0" locked="1"/>
    </xf>
    <xf fontId="4" fillId="4" borderId="1" numFmtId="0" xfId="6" applyFont="1" applyFill="1" applyBorder="1" applyAlignment="1" applyProtection="1">
      <alignment horizontal="center"/>
      <protection hidden="0" locked="1"/>
    </xf>
    <xf fontId="4" fillId="4" borderId="2" numFmtId="0" xfId="6" applyFont="1" applyFill="1" applyBorder="1" applyAlignment="1" applyProtection="1">
      <alignment horizontal="center"/>
      <protection hidden="0" locked="1"/>
    </xf>
    <xf fontId="4" fillId="4" borderId="0" numFmtId="0" xfId="6" applyFont="1" applyFill="1" applyAlignment="1" applyProtection="1">
      <alignment horizontal="center"/>
      <protection hidden="0" locked="1"/>
    </xf>
    <xf fontId="5" fillId="5" borderId="3" numFmtId="0" xfId="6" applyFont="1" applyFill="1" applyBorder="1" applyAlignment="1" applyProtection="1">
      <alignment horizontal="center"/>
      <protection hidden="0" locked="1"/>
    </xf>
    <xf fontId="5" fillId="5" borderId="4" numFmtId="0" xfId="6" applyFont="1" applyFill="1" applyBorder="1" applyAlignment="1" applyProtection="1">
      <alignment horizontal="center"/>
      <protection hidden="0" locked="1"/>
    </xf>
    <xf fontId="5" fillId="5" borderId="0" numFmtId="0" xfId="6" applyFont="1" applyFill="1" applyAlignment="1" applyProtection="1">
      <alignment horizontal="center"/>
      <protection hidden="0" locked="1"/>
    </xf>
    <xf fontId="5" fillId="5" borderId="3" numFmtId="9" xfId="6" applyNumberFormat="1" applyFont="1" applyFill="1" applyBorder="1" applyAlignment="1" applyProtection="1">
      <alignment horizontal="center"/>
      <protection hidden="0" locked="1"/>
    </xf>
    <xf fontId="4" fillId="6" borderId="5" numFmtId="0" xfId="6" applyFont="1" applyFill="1" applyBorder="1" applyProtection="1">
      <protection hidden="0" locked="1"/>
    </xf>
    <xf fontId="4" fillId="6" borderId="6" numFmtId="0" xfId="6" applyFont="1" applyFill="1" applyBorder="1" applyProtection="1">
      <protection hidden="0" locked="1"/>
    </xf>
    <xf fontId="4" fillId="6" borderId="7" numFmtId="0" xfId="6" applyFont="1" applyFill="1" applyBorder="1" applyProtection="1">
      <protection hidden="0" locked="1"/>
    </xf>
    <xf fontId="4" fillId="7" borderId="0" numFmtId="0" xfId="6" applyFont="1" applyFill="1" applyAlignment="1" applyProtection="1">
      <alignment horizontal="center"/>
      <protection hidden="0" locked="1"/>
    </xf>
    <xf fontId="1" fillId="0" borderId="8" numFmtId="0" xfId="6" applyFont="1" applyBorder="1" applyProtection="1">
      <protection hidden="0" locked="1"/>
    </xf>
    <xf fontId="1" fillId="0" borderId="9" numFmtId="0" xfId="6" applyFont="1" applyBorder="1" applyProtection="1">
      <protection hidden="0" locked="1"/>
    </xf>
    <xf fontId="1" fillId="0" borderId="10" numFmtId="9" xfId="6" applyNumberFormat="1" applyFont="1" applyBorder="1" applyProtection="1">
      <protection hidden="0" locked="1"/>
    </xf>
    <xf fontId="6" fillId="8" borderId="0" numFmtId="0" xfId="6" applyFont="1" applyFill="1" applyAlignment="1" applyProtection="1">
      <alignment vertical="top" wrapText="1"/>
      <protection hidden="0" locked="1"/>
    </xf>
    <xf fontId="1" fillId="0" borderId="11" numFmtId="0" xfId="6" applyFont="1" applyBorder="1" applyProtection="1">
      <protection hidden="0" locked="1"/>
    </xf>
    <xf fontId="1" fillId="0" borderId="12" numFmtId="0" xfId="6" applyFont="1" applyBorder="1" applyProtection="1">
      <protection hidden="0" locked="1"/>
    </xf>
    <xf fontId="1" fillId="0" borderId="13" numFmtId="9" xfId="6" applyNumberFormat="1" applyFont="1" applyBorder="1" applyProtection="1">
      <protection hidden="0" locked="1"/>
    </xf>
    <xf fontId="7" fillId="6" borderId="0" numFmtId="0" xfId="6" applyFont="1" applyFill="1" applyAlignment="1" applyProtection="1">
      <alignment vertical="center" wrapText="1"/>
      <protection hidden="0" locked="1"/>
    </xf>
    <xf fontId="8" fillId="0" borderId="0" numFmtId="0" xfId="6" applyFont="1" applyProtection="1">
      <protection hidden="0" locked="1"/>
    </xf>
    <xf fontId="8" fillId="0" borderId="0" numFmtId="0" xfId="6" applyFont="1" applyAlignment="1" applyProtection="1">
      <alignment wrapText="1"/>
      <protection hidden="0" locked="1"/>
    </xf>
    <xf fontId="8" fillId="0" borderId="0" numFmtId="164" xfId="6" applyNumberFormat="1" applyFont="1" applyProtection="1">
      <protection hidden="0" locked="1"/>
    </xf>
    <xf fontId="9" fillId="2" borderId="0" numFmtId="0" xfId="6" applyFont="1" applyFill="1" applyProtection="1">
      <protection hidden="0" locked="1"/>
    </xf>
    <xf fontId="1" fillId="0" borderId="0" numFmtId="0" xfId="6" applyFont="1" applyAlignment="1" applyProtection="1">
      <alignment wrapText="1"/>
      <protection hidden="0" locked="1"/>
    </xf>
    <xf fontId="1" fillId="0" borderId="0" numFmtId="164" xfId="6" applyNumberFormat="1" applyFont="1" applyProtection="1">
      <protection hidden="0" locked="1"/>
    </xf>
    <xf fontId="1" fillId="0" borderId="0" numFmtId="9" xfId="6" applyNumberFormat="1" applyFont="1" applyProtection="1">
      <protection hidden="0" locked="1"/>
    </xf>
    <xf fontId="10" fillId="8" borderId="0" numFmtId="0" xfId="6" applyFont="1" applyFill="1" applyAlignment="1" applyProtection="1">
      <alignment wrapText="1"/>
      <protection hidden="0" locked="1"/>
    </xf>
    <xf fontId="4" fillId="7" borderId="0" numFmtId="0" xfId="6" applyFont="1" applyFill="1" applyProtection="1">
      <protection hidden="0" locked="1"/>
    </xf>
    <xf fontId="11" fillId="9" borderId="0" numFmtId="0" xfId="6" applyFont="1" applyFill="1" applyAlignment="1" applyProtection="1">
      <alignment wrapText="1"/>
      <protection hidden="0" locked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LabChecklistTable" ref="A1:Q124" headerRowCount="1" totalsRowCount="0">
  <tableColumns count="17">
    <tableColumn id="1" name="Lab ID"/>
    <tableColumn id="2" name="Phase"/>
    <tableColumn id="3" name="Domain"/>
    <tableColumn id="4" name="Track"/>
    <tableColumn id="5" name="Lab / Scenario"/>
    <tableColumn id="6" name="Mastery Outcome"/>
    <tableColumn id="7" name="Suggested Topology"/>
    <tableColumn id="8" name="Est. Hours"/>
    <tableColumn id="9" name="Difficulty"/>
    <tableColumn id="10" name="Priority"/>
    <tableColumn id="11" name="Dependency"/>
    <tableColumn id="12" name="Status"/>
    <tableColumn id="13" name="Confidence (0-5)"/>
    <tableColumn id="14" name="Evidence Link / Folder"/>
    <tableColumn id="15" name="Completed Date"/>
    <tableColumn id="16" name="Required Evidence"/>
    <tableColumn id="17" name="Notes / Gap"/>
  </tableColumns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RoadmapTable" ref="A3:G15" headerRowCount="1" totalsRowCount="0">
  <tableColumns count="7">
    <tableColumn id="1" name="Phase"/>
    <tableColumn id="2" name="Primary Goal"/>
    <tableColumn id="3" name="Exit Gate"/>
    <tableColumn id="4" name="Labs"/>
    <tableColumn id="5" name="Est. Hours"/>
    <tableColumn id="6" name="Suggested Weeks"/>
    <tableColumn id="7" name="Why It Matters"/>
  </tableColumns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CapstoneTable" ref="A3:H11" headerRowCount="1" totalsRowCount="0">
  <tableColumns count="8">
    <tableColumn id="1" name="Attempt"/>
    <tableColumn id="2" name="Scenario"/>
    <tableColumn id="3" name="Date"/>
    <tableColumn id="4" name="Build %"/>
    <tableColumn id="5" name="Troubleshoot %"/>
    <tableColumn id="6" name="Verification %"/>
    <tableColumn id="7" name="Time Mgmt %"/>
    <tableColumn id="8" name="Overall %"/>
  </tableColumns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PracticeLogTable" ref="A1:J201" headerRowCount="1" totalsRowCount="0">
  <tableColumns count="10">
    <tableColumn id="1" name="Date"/>
    <tableColumn id="2" name="Lab ID"/>
    <tableColumn id="3" name="Minutes"/>
    <tableColumn id="4" name="Mode"/>
    <tableColumn id="5" name="Result"/>
    <tableColumn id="6" name="Fault / Gap Found"/>
    <tableColumn id="7" name="Root Cause"/>
    <tableColumn id="8" name="Next Action"/>
    <tableColumn id="9" name="Evidence Link"/>
    <tableColumn id="10" name="Revisit Date"/>
  </tableColumns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GuideTable" ref="A3:C13" headerRowCount="1" totalsRowCount="0">
  <tableColumns count="3">
    <tableColumn id="1" name="Step"/>
    <tableColumn id="2" name="Action"/>
    <tableColumn id="3" name="Standard"/>
  </tableColumns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MasteryTable" ref="A17:B23" headerRowCount="1" totalsRowCount="0">
  <tableColumns count="2">
    <tableColumn id="1" name="Dimension"/>
    <tableColumn id="2" name="Completion Gate"/>
  </tableColumns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Relationship  Id="rId2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9.7578125" defaultRowHeight="15"/>
  <cols>
    <col customWidth="1" min="1" max="1" style="1" width="38.600000000000001"/>
    <col customWidth="1" min="2" max="8" style="1" width="17.030000000000001"/>
  </cols>
  <sheetData>
    <row r="1" ht="15">
      <c r="A1" s="2" t="s">
        <v>0</v>
      </c>
      <c r="B1" s="2"/>
      <c r="C1" s="2"/>
      <c r="D1" s="2"/>
      <c r="E1" s="2"/>
      <c r="F1" s="2"/>
      <c r="G1" s="2"/>
      <c r="H1" s="2"/>
    </row>
    <row r="2" ht="15">
      <c r="A2" s="2"/>
      <c r="B2" s="2"/>
      <c r="C2" s="2"/>
      <c r="D2" s="2"/>
      <c r="E2" s="2"/>
      <c r="F2" s="2"/>
      <c r="G2" s="2"/>
      <c r="H2" s="2"/>
    </row>
    <row r="3" ht="15" customHeight="1">
      <c r="A3" s="3" t="s">
        <v>1</v>
      </c>
      <c r="B3" s="3"/>
      <c r="C3" s="3"/>
      <c r="D3" s="3"/>
      <c r="E3" s="3"/>
      <c r="F3" s="3"/>
      <c r="G3" s="3"/>
      <c r="H3" s="3"/>
    </row>
    <row r="5" ht="15">
      <c r="A5" s="4" t="s">
        <v>2</v>
      </c>
      <c r="B5" s="5" t="s">
        <v>3</v>
      </c>
      <c r="C5" s="6"/>
      <c r="D5" s="4" t="s">
        <v>4</v>
      </c>
      <c r="E5" s="5" t="s">
        <v>5</v>
      </c>
      <c r="F5" s="6"/>
      <c r="G5" s="4" t="s">
        <v>6</v>
      </c>
      <c r="H5" s="5" t="s">
        <v>7</v>
      </c>
    </row>
    <row r="6" ht="22.050000000000001">
      <c r="A6" s="7">
        <f>COUNTA('Lab Checklist'!$A$2:$A$124)</f>
        <v>123</v>
      </c>
      <c r="B6" s="8">
        <f>COUNTIF('Lab Checklist'!$L$2:$L$124,"*Completed*")</f>
        <v>2</v>
      </c>
      <c r="C6" s="9"/>
      <c r="D6" s="7">
        <f>COUNTIF('Lab Checklist'!$L$2:$L$124,"*In Progress*")</f>
        <v>0</v>
      </c>
      <c r="E6" s="8">
        <f>SUM('Lab Checklist'!$H$2:$H$124)</f>
        <v>488</v>
      </c>
      <c r="F6" s="9"/>
      <c r="G6" s="10">
        <f>IFERROR(B6/A6,0)</f>
        <v>0.016260162601626018</v>
      </c>
      <c r="H6" s="8">
        <f>SUMIF('Lab Checklist'!$L$2:$L$124,"*Completed*",'Lab Checklist'!$H$2:$H$124)</f>
        <v>4</v>
      </c>
    </row>
    <row r="8" ht="15">
      <c r="A8" s="11" t="s">
        <v>8</v>
      </c>
      <c r="B8" s="12" t="s">
        <v>9</v>
      </c>
      <c r="C8" s="12" t="s">
        <v>3</v>
      </c>
      <c r="D8" s="13" t="s">
        <v>10</v>
      </c>
      <c r="F8" s="14" t="s">
        <v>11</v>
      </c>
      <c r="G8" s="14"/>
      <c r="H8" s="14"/>
    </row>
    <row r="9" ht="15" customHeight="1">
      <c r="A9" s="15" t="s">
        <v>12</v>
      </c>
      <c r="B9" s="16">
        <v>10</v>
      </c>
      <c r="C9" s="16">
        <f>COUNTIFS('Lab Checklist'!$B$2:$B$124,A9,'Lab Checklist'!$L$2:$L$124,"*Completed*")</f>
        <v>2</v>
      </c>
      <c r="D9" s="17">
        <f>IFERROR(C9/B9,0)</f>
        <v>0.20000000000000001</v>
      </c>
      <c r="F9" s="18" t="s">
        <v>13</v>
      </c>
      <c r="G9" s="18"/>
      <c r="H9" s="18"/>
    </row>
    <row r="10" ht="15">
      <c r="A10" s="15" t="s">
        <v>14</v>
      </c>
      <c r="B10" s="16">
        <v>12</v>
      </c>
      <c r="C10" s="16">
        <f>COUNTIFS('Lab Checklist'!$B$2:$B$124,A10,'Lab Checklist'!$L$2:$L$124,"*Completed*")</f>
        <v>0</v>
      </c>
      <c r="D10" s="17">
        <f t="shared" ref="D10:D20" si="0">IFERROR(C10/B10,0)</f>
        <v>0</v>
      </c>
      <c r="F10" s="18"/>
      <c r="G10" s="18"/>
      <c r="H10" s="18"/>
    </row>
    <row r="11" ht="15">
      <c r="A11" s="15" t="s">
        <v>15</v>
      </c>
      <c r="B11" s="16">
        <v>12</v>
      </c>
      <c r="C11" s="16">
        <f>COUNTIFS('Lab Checklist'!$B$2:$B$124,A11,'Lab Checklist'!$L$2:$L$124,"*Completed*")</f>
        <v>0</v>
      </c>
      <c r="D11" s="17">
        <f t="shared" si="0"/>
        <v>0</v>
      </c>
      <c r="F11" s="18"/>
      <c r="G11" s="18"/>
      <c r="H11" s="18"/>
    </row>
    <row r="12" ht="15">
      <c r="A12" s="15" t="s">
        <v>16</v>
      </c>
      <c r="B12" s="16">
        <v>14</v>
      </c>
      <c r="C12" s="16">
        <f>COUNTIFS('Lab Checklist'!$B$2:$B$124,A12,'Lab Checklist'!$L$2:$L$124,"*Completed*")</f>
        <v>0</v>
      </c>
      <c r="D12" s="17">
        <f t="shared" si="0"/>
        <v>0</v>
      </c>
      <c r="F12" s="18"/>
      <c r="G12" s="18"/>
      <c r="H12" s="18"/>
    </row>
    <row r="13" ht="15">
      <c r="A13" s="15" t="s">
        <v>17</v>
      </c>
      <c r="B13" s="16">
        <v>8</v>
      </c>
      <c r="C13" s="16">
        <f>COUNTIFS('Lab Checklist'!$B$2:$B$124,A13,'Lab Checklist'!$L$2:$L$124,"*Completed*")</f>
        <v>0</v>
      </c>
      <c r="D13" s="17">
        <f t="shared" si="0"/>
        <v>0</v>
      </c>
      <c r="F13" s="18"/>
      <c r="G13" s="18"/>
      <c r="H13" s="18"/>
    </row>
    <row r="14" ht="15">
      <c r="A14" s="15" t="s">
        <v>18</v>
      </c>
      <c r="B14" s="16">
        <v>12</v>
      </c>
      <c r="C14" s="16">
        <f>COUNTIFS('Lab Checklist'!$B$2:$B$124,A14,'Lab Checklist'!$L$2:$L$124,"*Completed*")</f>
        <v>0</v>
      </c>
      <c r="D14" s="17">
        <f t="shared" si="0"/>
        <v>0</v>
      </c>
      <c r="F14" s="18"/>
      <c r="G14" s="18"/>
      <c r="H14" s="18"/>
    </row>
    <row r="15" ht="15">
      <c r="A15" s="15" t="s">
        <v>19</v>
      </c>
      <c r="B15" s="16">
        <v>9</v>
      </c>
      <c r="C15" s="16">
        <f>COUNTIFS('Lab Checklist'!$B$2:$B$124,A15,'Lab Checklist'!$L$2:$L$124,"*Completed*")</f>
        <v>0</v>
      </c>
      <c r="D15" s="17">
        <f t="shared" si="0"/>
        <v>0</v>
      </c>
      <c r="F15" s="18"/>
      <c r="G15" s="18"/>
      <c r="H15" s="18"/>
    </row>
    <row r="16" ht="15">
      <c r="A16" s="15" t="s">
        <v>20</v>
      </c>
      <c r="B16" s="16">
        <v>10</v>
      </c>
      <c r="C16" s="16">
        <f>COUNTIFS('Lab Checklist'!$B$2:$B$124,A16,'Lab Checklist'!$L$2:$L$124,"*Completed*")</f>
        <v>0</v>
      </c>
      <c r="D16" s="17">
        <f t="shared" si="0"/>
        <v>0</v>
      </c>
    </row>
    <row r="17" ht="15">
      <c r="A17" s="15" t="s">
        <v>21</v>
      </c>
      <c r="B17" s="16">
        <v>9</v>
      </c>
      <c r="C17" s="16">
        <f>COUNTIFS('Lab Checklist'!$B$2:$B$124,A17,'Lab Checklist'!$L$2:$L$124,"*Completed*")</f>
        <v>0</v>
      </c>
      <c r="D17" s="17">
        <f t="shared" si="0"/>
        <v>0</v>
      </c>
    </row>
    <row r="18" ht="15">
      <c r="A18" s="15" t="s">
        <v>22</v>
      </c>
      <c r="B18" s="16">
        <v>7</v>
      </c>
      <c r="C18" s="16">
        <f>COUNTIFS('Lab Checklist'!$B$2:$B$124,A18,'Lab Checklist'!$L$2:$L$124,"*Completed*")</f>
        <v>0</v>
      </c>
      <c r="D18" s="17">
        <f t="shared" si="0"/>
        <v>0</v>
      </c>
    </row>
    <row r="19" ht="15">
      <c r="A19" s="15" t="s">
        <v>23</v>
      </c>
      <c r="B19" s="16">
        <v>10</v>
      </c>
      <c r="C19" s="16">
        <f>COUNTIFS('Lab Checklist'!$B$2:$B$124,A19,'Lab Checklist'!$L$2:$L$124,"*Completed*")</f>
        <v>0</v>
      </c>
      <c r="D19" s="17">
        <f t="shared" si="0"/>
        <v>0</v>
      </c>
    </row>
    <row r="20" ht="15">
      <c r="A20" s="19" t="s">
        <v>24</v>
      </c>
      <c r="B20" s="20">
        <v>10</v>
      </c>
      <c r="C20" s="20">
        <f>COUNTIFS('Lab Checklist'!$B$2:$B$124,A20,'Lab Checklist'!$L$2:$L$124,"*Completed*")</f>
        <v>0</v>
      </c>
      <c r="D20" s="21">
        <f t="shared" si="0"/>
        <v>0</v>
      </c>
    </row>
  </sheetData>
  <mergeCells count="4">
    <mergeCell ref="A1:H2"/>
    <mergeCell ref="A3:H3"/>
    <mergeCell ref="F8:H8"/>
    <mergeCell ref="F9:H15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2" id="{2F82F829-2141-4B30-A417-98EBA9B532D7}">
            <x14:dataBar maxLength="90" minLength="10" axisPosition="automatic" direction="context">
              <x14:cfvo type="min"/>
              <x14:cfvo type="max"/>
              <x14:fillColor rgb="FF70AD47"/>
              <x14:negativeFillColor rgb="FF70AD47"/>
              <x14:axisColor indexed="64"/>
            </x14:dataBar>
          </x14:cfRule>
          <xm:sqref>D9:D20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I1" zoomScale="100" workbookViewId="0">
      <selection activeCell="A2" activeCellId="0" sqref="A2"/>
    </sheetView>
  </sheetViews>
  <sheetFormatPr defaultColWidth="9.7578125" defaultRowHeight="12.75"/>
  <cols>
    <col customWidth="1" min="1" max="1" style="1" width="13.619999999999999"/>
    <col customWidth="1" min="2" max="2" style="1" width="27.239999999999998"/>
    <col customWidth="1" min="3" max="3" style="1" width="22.699999999999999"/>
    <col customWidth="1" min="4" max="4" style="1" width="15.890000000000001"/>
    <col customWidth="1" min="5" max="5" style="1" width="36.32"/>
    <col customWidth="1" min="6" max="6" style="1" width="54.490000000000002"/>
    <col customWidth="1" min="7" max="7" style="1" width="38.600000000000001"/>
    <col customWidth="1" min="8" max="8" style="1" width="12.49"/>
    <col customWidth="1" min="9" max="9" style="1" width="14.76"/>
    <col customWidth="1" min="10" max="10" style="1" width="15.890000000000001"/>
    <col customWidth="1" min="11" max="11" style="1" width="13.619999999999999"/>
    <col customWidth="1" min="12" max="13" style="1" width="18.16"/>
    <col customWidth="1" min="14" max="14" style="1" width="28.379999999999999"/>
    <col customWidth="1" min="15" max="15" style="1" width="17.030000000000001"/>
    <col customWidth="1" min="16" max="16" style="1" width="47.68"/>
    <col customWidth="1" min="17" max="17" style="1" width="36.32"/>
  </cols>
  <sheetData>
    <row r="1" ht="32" customHeight="1">
      <c r="A1" s="22" t="s">
        <v>25</v>
      </c>
      <c r="B1" s="22" t="s">
        <v>8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</row>
    <row r="2" ht="38.25">
      <c r="A2" s="23" t="s">
        <v>41</v>
      </c>
      <c r="B2" s="23" t="s">
        <v>12</v>
      </c>
      <c r="C2" s="23" t="s">
        <v>42</v>
      </c>
      <c r="D2" s="23" t="s">
        <v>43</v>
      </c>
      <c r="E2" s="23" t="s">
        <v>44</v>
      </c>
      <c r="F2" s="24" t="s">
        <v>45</v>
      </c>
      <c r="G2" s="24" t="s">
        <v>46</v>
      </c>
      <c r="H2" s="23">
        <v>2</v>
      </c>
      <c r="I2" s="23" t="s">
        <v>47</v>
      </c>
      <c r="J2" s="23" t="s">
        <v>48</v>
      </c>
      <c r="K2" s="23"/>
      <c r="L2" s="23" t="s">
        <v>49</v>
      </c>
      <c r="M2" s="23">
        <v>0</v>
      </c>
      <c r="N2" s="23"/>
      <c r="O2" s="25">
        <v>46243</v>
      </c>
      <c r="P2" s="24" t="s">
        <v>50</v>
      </c>
      <c r="Q2" s="24"/>
    </row>
    <row r="3" ht="38.25">
      <c r="A3" s="23" t="s">
        <v>51</v>
      </c>
      <c r="B3" s="23" t="s">
        <v>12</v>
      </c>
      <c r="C3" s="23" t="s">
        <v>42</v>
      </c>
      <c r="D3" s="23" t="s">
        <v>43</v>
      </c>
      <c r="E3" s="23" t="s">
        <v>52</v>
      </c>
      <c r="F3" s="24" t="s">
        <v>53</v>
      </c>
      <c r="G3" s="24" t="s">
        <v>46</v>
      </c>
      <c r="H3" s="23">
        <v>2</v>
      </c>
      <c r="I3" s="23" t="s">
        <v>47</v>
      </c>
      <c r="J3" s="23" t="s">
        <v>48</v>
      </c>
      <c r="K3" s="23" t="s">
        <v>41</v>
      </c>
      <c r="L3" s="23" t="s">
        <v>49</v>
      </c>
      <c r="M3" s="23">
        <v>0</v>
      </c>
      <c r="N3" s="23"/>
      <c r="O3" s="25"/>
      <c r="P3" s="24" t="s">
        <v>50</v>
      </c>
      <c r="Q3" s="24"/>
    </row>
    <row r="4" ht="38.25">
      <c r="A4" s="23" t="s">
        <v>54</v>
      </c>
      <c r="B4" s="23" t="s">
        <v>12</v>
      </c>
      <c r="C4" s="23" t="s">
        <v>42</v>
      </c>
      <c r="D4" s="23" t="s">
        <v>43</v>
      </c>
      <c r="E4" s="23" t="s">
        <v>55</v>
      </c>
      <c r="F4" s="24" t="s">
        <v>56</v>
      </c>
      <c r="G4" s="24" t="s">
        <v>46</v>
      </c>
      <c r="H4" s="23">
        <v>2</v>
      </c>
      <c r="I4" s="23" t="s">
        <v>47</v>
      </c>
      <c r="J4" s="23" t="s">
        <v>48</v>
      </c>
      <c r="K4" s="23" t="s">
        <v>51</v>
      </c>
      <c r="L4" s="23" t="s">
        <v>57</v>
      </c>
      <c r="M4" s="23">
        <v>0</v>
      </c>
      <c r="N4" s="23"/>
      <c r="O4" s="25"/>
      <c r="P4" s="24" t="s">
        <v>50</v>
      </c>
      <c r="Q4" s="24"/>
    </row>
    <row r="5" ht="38.25">
      <c r="A5" s="23" t="s">
        <v>58</v>
      </c>
      <c r="B5" s="23" t="s">
        <v>12</v>
      </c>
      <c r="C5" s="23" t="s">
        <v>42</v>
      </c>
      <c r="D5" s="23" t="s">
        <v>43</v>
      </c>
      <c r="E5" s="23" t="s">
        <v>59</v>
      </c>
      <c r="F5" s="24" t="s">
        <v>60</v>
      </c>
      <c r="G5" s="24" t="s">
        <v>46</v>
      </c>
      <c r="H5" s="23">
        <v>2</v>
      </c>
      <c r="I5" s="23" t="s">
        <v>47</v>
      </c>
      <c r="J5" s="23" t="s">
        <v>48</v>
      </c>
      <c r="K5" s="23" t="s">
        <v>54</v>
      </c>
      <c r="L5" s="23" t="s">
        <v>57</v>
      </c>
      <c r="M5" s="23">
        <v>0</v>
      </c>
      <c r="N5" s="23"/>
      <c r="O5" s="25"/>
      <c r="P5" s="24" t="s">
        <v>50</v>
      </c>
      <c r="Q5" s="24"/>
    </row>
    <row r="6" ht="38.25">
      <c r="A6" s="23" t="s">
        <v>61</v>
      </c>
      <c r="B6" s="23" t="s">
        <v>12</v>
      </c>
      <c r="C6" s="23" t="s">
        <v>42</v>
      </c>
      <c r="D6" s="23" t="s">
        <v>43</v>
      </c>
      <c r="E6" s="23" t="s">
        <v>62</v>
      </c>
      <c r="F6" s="24" t="s">
        <v>63</v>
      </c>
      <c r="G6" s="24" t="s">
        <v>46</v>
      </c>
      <c r="H6" s="23">
        <v>2</v>
      </c>
      <c r="I6" s="23" t="s">
        <v>47</v>
      </c>
      <c r="J6" s="23" t="s">
        <v>48</v>
      </c>
      <c r="K6" s="23" t="s">
        <v>58</v>
      </c>
      <c r="L6" s="23" t="s">
        <v>57</v>
      </c>
      <c r="M6" s="23">
        <v>0</v>
      </c>
      <c r="N6" s="23"/>
      <c r="O6" s="25"/>
      <c r="P6" s="24" t="s">
        <v>50</v>
      </c>
      <c r="Q6" s="24"/>
    </row>
    <row r="7" ht="38.25">
      <c r="A7" s="23" t="s">
        <v>64</v>
      </c>
      <c r="B7" s="23" t="s">
        <v>12</v>
      </c>
      <c r="C7" s="23" t="s">
        <v>42</v>
      </c>
      <c r="D7" s="23" t="s">
        <v>43</v>
      </c>
      <c r="E7" s="23" t="s">
        <v>65</v>
      </c>
      <c r="F7" s="24" t="s">
        <v>66</v>
      </c>
      <c r="G7" s="24" t="s">
        <v>46</v>
      </c>
      <c r="H7" s="23">
        <v>2</v>
      </c>
      <c r="I7" s="23" t="s">
        <v>47</v>
      </c>
      <c r="J7" s="23" t="s">
        <v>48</v>
      </c>
      <c r="K7" s="23" t="s">
        <v>61</v>
      </c>
      <c r="L7" s="23" t="s">
        <v>57</v>
      </c>
      <c r="M7" s="23">
        <v>0</v>
      </c>
      <c r="N7" s="23"/>
      <c r="O7" s="25"/>
      <c r="P7" s="24" t="s">
        <v>50</v>
      </c>
      <c r="Q7" s="24"/>
    </row>
    <row r="8" ht="38.25">
      <c r="A8" s="23" t="s">
        <v>67</v>
      </c>
      <c r="B8" s="23" t="s">
        <v>12</v>
      </c>
      <c r="C8" s="23" t="s">
        <v>42</v>
      </c>
      <c r="D8" s="23" t="s">
        <v>43</v>
      </c>
      <c r="E8" s="23" t="s">
        <v>68</v>
      </c>
      <c r="F8" s="24" t="s">
        <v>69</v>
      </c>
      <c r="G8" s="24" t="s">
        <v>46</v>
      </c>
      <c r="H8" s="23">
        <v>2</v>
      </c>
      <c r="I8" s="23" t="s">
        <v>47</v>
      </c>
      <c r="J8" s="23" t="s">
        <v>48</v>
      </c>
      <c r="K8" s="23" t="s">
        <v>64</v>
      </c>
      <c r="L8" s="23" t="s">
        <v>57</v>
      </c>
      <c r="M8" s="23">
        <v>0</v>
      </c>
      <c r="N8" s="23"/>
      <c r="O8" s="25"/>
      <c r="P8" s="24" t="s">
        <v>50</v>
      </c>
      <c r="Q8" s="24"/>
    </row>
    <row r="9" ht="38.25">
      <c r="A9" s="23" t="s">
        <v>70</v>
      </c>
      <c r="B9" s="23" t="s">
        <v>12</v>
      </c>
      <c r="C9" s="23" t="s">
        <v>42</v>
      </c>
      <c r="D9" s="23" t="s">
        <v>43</v>
      </c>
      <c r="E9" s="23" t="s">
        <v>71</v>
      </c>
      <c r="F9" s="24" t="s">
        <v>72</v>
      </c>
      <c r="G9" s="24" t="s">
        <v>46</v>
      </c>
      <c r="H9" s="23">
        <v>2</v>
      </c>
      <c r="I9" s="23" t="s">
        <v>47</v>
      </c>
      <c r="J9" s="23" t="s">
        <v>48</v>
      </c>
      <c r="K9" s="23" t="s">
        <v>67</v>
      </c>
      <c r="L9" s="23" t="s">
        <v>57</v>
      </c>
      <c r="M9" s="23">
        <v>0</v>
      </c>
      <c r="N9" s="23"/>
      <c r="O9" s="25"/>
      <c r="P9" s="24" t="s">
        <v>50</v>
      </c>
      <c r="Q9" s="24"/>
    </row>
    <row r="10" ht="38.25">
      <c r="A10" s="23" t="s">
        <v>73</v>
      </c>
      <c r="B10" s="23" t="s">
        <v>12</v>
      </c>
      <c r="C10" s="23" t="s">
        <v>42</v>
      </c>
      <c r="D10" s="23" t="s">
        <v>43</v>
      </c>
      <c r="E10" s="23" t="s">
        <v>74</v>
      </c>
      <c r="F10" s="24" t="s">
        <v>75</v>
      </c>
      <c r="G10" s="24" t="s">
        <v>46</v>
      </c>
      <c r="H10" s="23">
        <v>2</v>
      </c>
      <c r="I10" s="23" t="s">
        <v>47</v>
      </c>
      <c r="J10" s="23" t="s">
        <v>48</v>
      </c>
      <c r="K10" s="23" t="s">
        <v>70</v>
      </c>
      <c r="L10" s="23" t="s">
        <v>57</v>
      </c>
      <c r="M10" s="23">
        <v>0</v>
      </c>
      <c r="N10" s="23"/>
      <c r="O10" s="25"/>
      <c r="P10" s="24" t="s">
        <v>50</v>
      </c>
      <c r="Q10" s="24"/>
    </row>
    <row r="11" ht="38.25">
      <c r="A11" s="23" t="s">
        <v>76</v>
      </c>
      <c r="B11" s="23" t="s">
        <v>12</v>
      </c>
      <c r="C11" s="23" t="s">
        <v>42</v>
      </c>
      <c r="D11" s="23" t="s">
        <v>43</v>
      </c>
      <c r="E11" s="23" t="s">
        <v>77</v>
      </c>
      <c r="F11" s="24" t="s">
        <v>78</v>
      </c>
      <c r="G11" s="24" t="s">
        <v>46</v>
      </c>
      <c r="H11" s="23">
        <v>2</v>
      </c>
      <c r="I11" s="23" t="s">
        <v>47</v>
      </c>
      <c r="J11" s="23" t="s">
        <v>48</v>
      </c>
      <c r="K11" s="23" t="s">
        <v>73</v>
      </c>
      <c r="L11" s="23" t="s">
        <v>57</v>
      </c>
      <c r="M11" s="23">
        <v>0</v>
      </c>
      <c r="N11" s="23"/>
      <c r="O11" s="25"/>
      <c r="P11" s="24" t="s">
        <v>50</v>
      </c>
      <c r="Q11" s="24"/>
    </row>
    <row r="12" ht="38.25">
      <c r="A12" s="23" t="s">
        <v>79</v>
      </c>
      <c r="B12" s="23" t="s">
        <v>14</v>
      </c>
      <c r="C12" s="23" t="s">
        <v>80</v>
      </c>
      <c r="D12" s="23" t="s">
        <v>48</v>
      </c>
      <c r="E12" s="23" t="s">
        <v>81</v>
      </c>
      <c r="F12" s="24" t="s">
        <v>82</v>
      </c>
      <c r="G12" s="24" t="s">
        <v>46</v>
      </c>
      <c r="H12" s="23">
        <v>3</v>
      </c>
      <c r="I12" s="23" t="s">
        <v>83</v>
      </c>
      <c r="J12" s="23" t="s">
        <v>48</v>
      </c>
      <c r="K12" s="23"/>
      <c r="L12" s="23" t="s">
        <v>57</v>
      </c>
      <c r="M12" s="23">
        <v>0</v>
      </c>
      <c r="N12" s="23"/>
      <c r="O12" s="25"/>
      <c r="P12" s="24" t="s">
        <v>50</v>
      </c>
      <c r="Q12" s="24"/>
    </row>
    <row r="13" ht="38.25">
      <c r="A13" s="23" t="s">
        <v>84</v>
      </c>
      <c r="B13" s="23" t="s">
        <v>14</v>
      </c>
      <c r="C13" s="23" t="s">
        <v>80</v>
      </c>
      <c r="D13" s="23" t="s">
        <v>48</v>
      </c>
      <c r="E13" s="23" t="s">
        <v>85</v>
      </c>
      <c r="F13" s="24" t="s">
        <v>86</v>
      </c>
      <c r="G13" s="24" t="s">
        <v>46</v>
      </c>
      <c r="H13" s="23">
        <v>3</v>
      </c>
      <c r="I13" s="23" t="s">
        <v>83</v>
      </c>
      <c r="J13" s="23" t="s">
        <v>48</v>
      </c>
      <c r="K13" s="23" t="s">
        <v>79</v>
      </c>
      <c r="L13" s="23" t="s">
        <v>57</v>
      </c>
      <c r="M13" s="23">
        <v>0</v>
      </c>
      <c r="N13" s="23"/>
      <c r="O13" s="25"/>
      <c r="P13" s="24" t="s">
        <v>50</v>
      </c>
      <c r="Q13" s="24"/>
    </row>
    <row r="14" ht="38.25">
      <c r="A14" s="23" t="s">
        <v>87</v>
      </c>
      <c r="B14" s="23" t="s">
        <v>14</v>
      </c>
      <c r="C14" s="23" t="s">
        <v>80</v>
      </c>
      <c r="D14" s="23" t="s">
        <v>48</v>
      </c>
      <c r="E14" s="23" t="s">
        <v>88</v>
      </c>
      <c r="F14" s="24" t="s">
        <v>89</v>
      </c>
      <c r="G14" s="24" t="s">
        <v>46</v>
      </c>
      <c r="H14" s="23">
        <v>3</v>
      </c>
      <c r="I14" s="23" t="s">
        <v>83</v>
      </c>
      <c r="J14" s="23" t="s">
        <v>48</v>
      </c>
      <c r="K14" s="23" t="s">
        <v>84</v>
      </c>
      <c r="L14" s="23" t="s">
        <v>57</v>
      </c>
      <c r="M14" s="23">
        <v>0</v>
      </c>
      <c r="N14" s="23"/>
      <c r="O14" s="25"/>
      <c r="P14" s="24" t="s">
        <v>50</v>
      </c>
      <c r="Q14" s="24"/>
    </row>
    <row r="15" ht="38.25">
      <c r="A15" s="23" t="s">
        <v>90</v>
      </c>
      <c r="B15" s="23" t="s">
        <v>14</v>
      </c>
      <c r="C15" s="23" t="s">
        <v>80</v>
      </c>
      <c r="D15" s="23" t="s">
        <v>48</v>
      </c>
      <c r="E15" s="23" t="s">
        <v>91</v>
      </c>
      <c r="F15" s="24" t="s">
        <v>92</v>
      </c>
      <c r="G15" s="24" t="s">
        <v>46</v>
      </c>
      <c r="H15" s="23">
        <v>3</v>
      </c>
      <c r="I15" s="23" t="s">
        <v>83</v>
      </c>
      <c r="J15" s="23" t="s">
        <v>48</v>
      </c>
      <c r="K15" s="23" t="s">
        <v>87</v>
      </c>
      <c r="L15" s="23" t="s">
        <v>57</v>
      </c>
      <c r="M15" s="23">
        <v>0</v>
      </c>
      <c r="N15" s="23"/>
      <c r="O15" s="25"/>
      <c r="P15" s="24" t="s">
        <v>50</v>
      </c>
      <c r="Q15" s="24"/>
    </row>
    <row r="16" ht="38.25">
      <c r="A16" s="23" t="s">
        <v>93</v>
      </c>
      <c r="B16" s="23" t="s">
        <v>14</v>
      </c>
      <c r="C16" s="23" t="s">
        <v>80</v>
      </c>
      <c r="D16" s="23" t="s">
        <v>48</v>
      </c>
      <c r="E16" s="23" t="s">
        <v>94</v>
      </c>
      <c r="F16" s="24" t="s">
        <v>95</v>
      </c>
      <c r="G16" s="24" t="s">
        <v>46</v>
      </c>
      <c r="H16" s="23">
        <v>3</v>
      </c>
      <c r="I16" s="23" t="s">
        <v>83</v>
      </c>
      <c r="J16" s="23" t="s">
        <v>48</v>
      </c>
      <c r="K16" s="23" t="s">
        <v>90</v>
      </c>
      <c r="L16" s="23" t="s">
        <v>57</v>
      </c>
      <c r="M16" s="23">
        <v>0</v>
      </c>
      <c r="N16" s="23"/>
      <c r="O16" s="25"/>
      <c r="P16" s="24" t="s">
        <v>50</v>
      </c>
      <c r="Q16" s="24"/>
    </row>
    <row r="17" ht="38.25">
      <c r="A17" s="23" t="s">
        <v>96</v>
      </c>
      <c r="B17" s="23" t="s">
        <v>14</v>
      </c>
      <c r="C17" s="23" t="s">
        <v>80</v>
      </c>
      <c r="D17" s="23" t="s">
        <v>48</v>
      </c>
      <c r="E17" s="23" t="s">
        <v>97</v>
      </c>
      <c r="F17" s="24" t="s">
        <v>98</v>
      </c>
      <c r="G17" s="24" t="s">
        <v>46</v>
      </c>
      <c r="H17" s="23">
        <v>3</v>
      </c>
      <c r="I17" s="23" t="s">
        <v>83</v>
      </c>
      <c r="J17" s="23" t="s">
        <v>48</v>
      </c>
      <c r="K17" s="23" t="s">
        <v>93</v>
      </c>
      <c r="L17" s="23" t="s">
        <v>57</v>
      </c>
      <c r="M17" s="23">
        <v>0</v>
      </c>
      <c r="N17" s="23"/>
      <c r="O17" s="25"/>
      <c r="P17" s="24" t="s">
        <v>50</v>
      </c>
      <c r="Q17" s="24"/>
    </row>
    <row r="18" ht="38.25">
      <c r="A18" s="23" t="s">
        <v>99</v>
      </c>
      <c r="B18" s="23" t="s">
        <v>14</v>
      </c>
      <c r="C18" s="23" t="s">
        <v>80</v>
      </c>
      <c r="D18" s="23" t="s">
        <v>48</v>
      </c>
      <c r="E18" s="23" t="s">
        <v>100</v>
      </c>
      <c r="F18" s="24" t="s">
        <v>101</v>
      </c>
      <c r="G18" s="24" t="s">
        <v>46</v>
      </c>
      <c r="H18" s="23">
        <v>3</v>
      </c>
      <c r="I18" s="23" t="s">
        <v>83</v>
      </c>
      <c r="J18" s="23" t="s">
        <v>48</v>
      </c>
      <c r="K18" s="23" t="s">
        <v>96</v>
      </c>
      <c r="L18" s="23" t="s">
        <v>57</v>
      </c>
      <c r="M18" s="23">
        <v>0</v>
      </c>
      <c r="N18" s="23"/>
      <c r="O18" s="25"/>
      <c r="P18" s="24" t="s">
        <v>50</v>
      </c>
      <c r="Q18" s="24"/>
    </row>
    <row r="19" ht="38.25">
      <c r="A19" s="23" t="s">
        <v>102</v>
      </c>
      <c r="B19" s="23" t="s">
        <v>14</v>
      </c>
      <c r="C19" s="23" t="s">
        <v>80</v>
      </c>
      <c r="D19" s="23" t="s">
        <v>48</v>
      </c>
      <c r="E19" s="23" t="s">
        <v>103</v>
      </c>
      <c r="F19" s="24" t="s">
        <v>104</v>
      </c>
      <c r="G19" s="24" t="s">
        <v>46</v>
      </c>
      <c r="H19" s="23">
        <v>3</v>
      </c>
      <c r="I19" s="23" t="s">
        <v>83</v>
      </c>
      <c r="J19" s="23" t="s">
        <v>48</v>
      </c>
      <c r="K19" s="23" t="s">
        <v>99</v>
      </c>
      <c r="L19" s="23" t="s">
        <v>57</v>
      </c>
      <c r="M19" s="23">
        <v>0</v>
      </c>
      <c r="N19" s="23"/>
      <c r="O19" s="25"/>
      <c r="P19" s="24" t="s">
        <v>50</v>
      </c>
      <c r="Q19" s="24"/>
    </row>
    <row r="20" ht="38.25">
      <c r="A20" s="23" t="s">
        <v>105</v>
      </c>
      <c r="B20" s="23" t="s">
        <v>14</v>
      </c>
      <c r="C20" s="23" t="s">
        <v>80</v>
      </c>
      <c r="D20" s="23" t="s">
        <v>48</v>
      </c>
      <c r="E20" s="23" t="s">
        <v>106</v>
      </c>
      <c r="F20" s="24" t="s">
        <v>107</v>
      </c>
      <c r="G20" s="24" t="s">
        <v>46</v>
      </c>
      <c r="H20" s="23">
        <v>3</v>
      </c>
      <c r="I20" s="23" t="s">
        <v>83</v>
      </c>
      <c r="J20" s="23" t="s">
        <v>48</v>
      </c>
      <c r="K20" s="23" t="s">
        <v>102</v>
      </c>
      <c r="L20" s="23" t="s">
        <v>57</v>
      </c>
      <c r="M20" s="23">
        <v>0</v>
      </c>
      <c r="N20" s="23"/>
      <c r="O20" s="25"/>
      <c r="P20" s="24" t="s">
        <v>50</v>
      </c>
      <c r="Q20" s="24"/>
    </row>
    <row r="21" ht="38.25">
      <c r="A21" s="23" t="s">
        <v>108</v>
      </c>
      <c r="B21" s="23" t="s">
        <v>14</v>
      </c>
      <c r="C21" s="23" t="s">
        <v>80</v>
      </c>
      <c r="D21" s="23" t="s">
        <v>48</v>
      </c>
      <c r="E21" s="23" t="s">
        <v>109</v>
      </c>
      <c r="F21" s="24" t="s">
        <v>110</v>
      </c>
      <c r="G21" s="24" t="s">
        <v>46</v>
      </c>
      <c r="H21" s="23">
        <v>3</v>
      </c>
      <c r="I21" s="23" t="s">
        <v>83</v>
      </c>
      <c r="J21" s="23" t="s">
        <v>48</v>
      </c>
      <c r="K21" s="23" t="s">
        <v>105</v>
      </c>
      <c r="L21" s="23" t="s">
        <v>57</v>
      </c>
      <c r="M21" s="23">
        <v>0</v>
      </c>
      <c r="N21" s="23"/>
      <c r="O21" s="25"/>
      <c r="P21" s="24" t="s">
        <v>50</v>
      </c>
      <c r="Q21" s="24"/>
    </row>
    <row r="22" ht="38.25">
      <c r="A22" s="23" t="s">
        <v>111</v>
      </c>
      <c r="B22" s="23" t="s">
        <v>14</v>
      </c>
      <c r="C22" s="23" t="s">
        <v>80</v>
      </c>
      <c r="D22" s="23" t="s">
        <v>48</v>
      </c>
      <c r="E22" s="23" t="s">
        <v>112</v>
      </c>
      <c r="F22" s="24" t="s">
        <v>113</v>
      </c>
      <c r="G22" s="24" t="s">
        <v>46</v>
      </c>
      <c r="H22" s="23">
        <v>3</v>
      </c>
      <c r="I22" s="23" t="s">
        <v>83</v>
      </c>
      <c r="J22" s="23" t="s">
        <v>48</v>
      </c>
      <c r="K22" s="23" t="s">
        <v>108</v>
      </c>
      <c r="L22" s="23" t="s">
        <v>57</v>
      </c>
      <c r="M22" s="23">
        <v>0</v>
      </c>
      <c r="N22" s="23"/>
      <c r="O22" s="25"/>
      <c r="P22" s="24" t="s">
        <v>50</v>
      </c>
      <c r="Q22" s="24"/>
    </row>
    <row r="23" ht="38.25">
      <c r="A23" s="23" t="s">
        <v>114</v>
      </c>
      <c r="B23" s="23" t="s">
        <v>14</v>
      </c>
      <c r="C23" s="23" t="s">
        <v>80</v>
      </c>
      <c r="D23" s="23" t="s">
        <v>48</v>
      </c>
      <c r="E23" s="23" t="s">
        <v>115</v>
      </c>
      <c r="F23" s="24" t="s">
        <v>116</v>
      </c>
      <c r="G23" s="24" t="s">
        <v>46</v>
      </c>
      <c r="H23" s="23">
        <v>3</v>
      </c>
      <c r="I23" s="23" t="s">
        <v>83</v>
      </c>
      <c r="J23" s="23" t="s">
        <v>48</v>
      </c>
      <c r="K23" s="23" t="s">
        <v>111</v>
      </c>
      <c r="L23" s="23" t="s">
        <v>57</v>
      </c>
      <c r="M23" s="23">
        <v>0</v>
      </c>
      <c r="N23" s="23"/>
      <c r="O23" s="25"/>
      <c r="P23" s="24" t="s">
        <v>50</v>
      </c>
      <c r="Q23" s="24"/>
    </row>
    <row r="24" ht="38.25">
      <c r="A24" s="23" t="s">
        <v>117</v>
      </c>
      <c r="B24" s="23" t="s">
        <v>15</v>
      </c>
      <c r="C24" s="23" t="s">
        <v>118</v>
      </c>
      <c r="D24" s="23" t="s">
        <v>48</v>
      </c>
      <c r="E24" s="23" t="s">
        <v>119</v>
      </c>
      <c r="F24" s="24" t="s">
        <v>120</v>
      </c>
      <c r="G24" s="24" t="s">
        <v>46</v>
      </c>
      <c r="H24" s="23">
        <v>3</v>
      </c>
      <c r="I24" s="23" t="s">
        <v>83</v>
      </c>
      <c r="J24" s="23" t="s">
        <v>48</v>
      </c>
      <c r="K24" s="23"/>
      <c r="L24" s="23" t="s">
        <v>57</v>
      </c>
      <c r="M24" s="23">
        <v>0</v>
      </c>
      <c r="N24" s="23"/>
      <c r="O24" s="25"/>
      <c r="P24" s="24" t="s">
        <v>50</v>
      </c>
      <c r="Q24" s="24"/>
    </row>
    <row r="25" ht="38.25">
      <c r="A25" s="23" t="s">
        <v>121</v>
      </c>
      <c r="B25" s="23" t="s">
        <v>15</v>
      </c>
      <c r="C25" s="23" t="s">
        <v>118</v>
      </c>
      <c r="D25" s="23" t="s">
        <v>48</v>
      </c>
      <c r="E25" s="23" t="s">
        <v>122</v>
      </c>
      <c r="F25" s="24" t="s">
        <v>123</v>
      </c>
      <c r="G25" s="24" t="s">
        <v>46</v>
      </c>
      <c r="H25" s="23">
        <v>3</v>
      </c>
      <c r="I25" s="23" t="s">
        <v>83</v>
      </c>
      <c r="J25" s="23" t="s">
        <v>48</v>
      </c>
      <c r="K25" s="23" t="s">
        <v>117</v>
      </c>
      <c r="L25" s="23" t="s">
        <v>57</v>
      </c>
      <c r="M25" s="23">
        <v>0</v>
      </c>
      <c r="N25" s="23"/>
      <c r="O25" s="25"/>
      <c r="P25" s="24" t="s">
        <v>50</v>
      </c>
      <c r="Q25" s="24"/>
    </row>
    <row r="26" ht="38.25">
      <c r="A26" s="23" t="s">
        <v>124</v>
      </c>
      <c r="B26" s="23" t="s">
        <v>15</v>
      </c>
      <c r="C26" s="23" t="s">
        <v>118</v>
      </c>
      <c r="D26" s="23" t="s">
        <v>48</v>
      </c>
      <c r="E26" s="23" t="s">
        <v>125</v>
      </c>
      <c r="F26" s="24" t="s">
        <v>126</v>
      </c>
      <c r="G26" s="24" t="s">
        <v>46</v>
      </c>
      <c r="H26" s="23">
        <v>3</v>
      </c>
      <c r="I26" s="23" t="s">
        <v>83</v>
      </c>
      <c r="J26" s="23" t="s">
        <v>48</v>
      </c>
      <c r="K26" s="23" t="s">
        <v>121</v>
      </c>
      <c r="L26" s="23" t="s">
        <v>57</v>
      </c>
      <c r="M26" s="23">
        <v>0</v>
      </c>
      <c r="N26" s="23"/>
      <c r="O26" s="25"/>
      <c r="P26" s="24" t="s">
        <v>50</v>
      </c>
      <c r="Q26" s="24"/>
    </row>
    <row r="27" ht="38.25">
      <c r="A27" s="23" t="s">
        <v>127</v>
      </c>
      <c r="B27" s="23" t="s">
        <v>15</v>
      </c>
      <c r="C27" s="23" t="s">
        <v>118</v>
      </c>
      <c r="D27" s="23" t="s">
        <v>48</v>
      </c>
      <c r="E27" s="23" t="s">
        <v>128</v>
      </c>
      <c r="F27" s="24" t="s">
        <v>129</v>
      </c>
      <c r="G27" s="24" t="s">
        <v>46</v>
      </c>
      <c r="H27" s="23">
        <v>3</v>
      </c>
      <c r="I27" s="23" t="s">
        <v>83</v>
      </c>
      <c r="J27" s="23" t="s">
        <v>48</v>
      </c>
      <c r="K27" s="23" t="s">
        <v>124</v>
      </c>
      <c r="L27" s="23" t="s">
        <v>57</v>
      </c>
      <c r="M27" s="23">
        <v>0</v>
      </c>
      <c r="N27" s="23"/>
      <c r="O27" s="25"/>
      <c r="P27" s="24" t="s">
        <v>50</v>
      </c>
      <c r="Q27" s="24"/>
    </row>
    <row r="28" ht="38.25">
      <c r="A28" s="23" t="s">
        <v>130</v>
      </c>
      <c r="B28" s="23" t="s">
        <v>15</v>
      </c>
      <c r="C28" s="23" t="s">
        <v>118</v>
      </c>
      <c r="D28" s="23" t="s">
        <v>48</v>
      </c>
      <c r="E28" s="23" t="s">
        <v>131</v>
      </c>
      <c r="F28" s="24" t="s">
        <v>132</v>
      </c>
      <c r="G28" s="24" t="s">
        <v>46</v>
      </c>
      <c r="H28" s="23">
        <v>3</v>
      </c>
      <c r="I28" s="23" t="s">
        <v>83</v>
      </c>
      <c r="J28" s="23" t="s">
        <v>48</v>
      </c>
      <c r="K28" s="23" t="s">
        <v>127</v>
      </c>
      <c r="L28" s="23" t="s">
        <v>57</v>
      </c>
      <c r="M28" s="23">
        <v>0</v>
      </c>
      <c r="N28" s="23"/>
      <c r="O28" s="25"/>
      <c r="P28" s="24" t="s">
        <v>50</v>
      </c>
      <c r="Q28" s="24"/>
    </row>
    <row r="29" ht="38.25">
      <c r="A29" s="23" t="s">
        <v>133</v>
      </c>
      <c r="B29" s="23" t="s">
        <v>15</v>
      </c>
      <c r="C29" s="23" t="s">
        <v>118</v>
      </c>
      <c r="D29" s="23" t="s">
        <v>48</v>
      </c>
      <c r="E29" s="23" t="s">
        <v>134</v>
      </c>
      <c r="F29" s="24" t="s">
        <v>135</v>
      </c>
      <c r="G29" s="24" t="s">
        <v>46</v>
      </c>
      <c r="H29" s="23">
        <v>3</v>
      </c>
      <c r="I29" s="23" t="s">
        <v>83</v>
      </c>
      <c r="J29" s="23" t="s">
        <v>48</v>
      </c>
      <c r="K29" s="23" t="s">
        <v>130</v>
      </c>
      <c r="L29" s="23" t="s">
        <v>57</v>
      </c>
      <c r="M29" s="23">
        <v>0</v>
      </c>
      <c r="N29" s="23"/>
      <c r="O29" s="25"/>
      <c r="P29" s="24" t="s">
        <v>50</v>
      </c>
      <c r="Q29" s="24"/>
    </row>
    <row r="30" ht="38.25">
      <c r="A30" s="23" t="s">
        <v>136</v>
      </c>
      <c r="B30" s="23" t="s">
        <v>15</v>
      </c>
      <c r="C30" s="23" t="s">
        <v>118</v>
      </c>
      <c r="D30" s="23" t="s">
        <v>48</v>
      </c>
      <c r="E30" s="23" t="s">
        <v>137</v>
      </c>
      <c r="F30" s="24" t="s">
        <v>138</v>
      </c>
      <c r="G30" s="24" t="s">
        <v>46</v>
      </c>
      <c r="H30" s="23">
        <v>3</v>
      </c>
      <c r="I30" s="23" t="s">
        <v>83</v>
      </c>
      <c r="J30" s="23" t="s">
        <v>48</v>
      </c>
      <c r="K30" s="23" t="s">
        <v>133</v>
      </c>
      <c r="L30" s="23" t="s">
        <v>57</v>
      </c>
      <c r="M30" s="23">
        <v>0</v>
      </c>
      <c r="N30" s="23"/>
      <c r="O30" s="25"/>
      <c r="P30" s="24" t="s">
        <v>50</v>
      </c>
      <c r="Q30" s="24"/>
    </row>
    <row r="31" ht="38.25">
      <c r="A31" s="23" t="s">
        <v>139</v>
      </c>
      <c r="B31" s="23" t="s">
        <v>15</v>
      </c>
      <c r="C31" s="23" t="s">
        <v>118</v>
      </c>
      <c r="D31" s="23" t="s">
        <v>48</v>
      </c>
      <c r="E31" s="23" t="s">
        <v>140</v>
      </c>
      <c r="F31" s="24" t="s">
        <v>141</v>
      </c>
      <c r="G31" s="24" t="s">
        <v>46</v>
      </c>
      <c r="H31" s="23">
        <v>3</v>
      </c>
      <c r="I31" s="23" t="s">
        <v>83</v>
      </c>
      <c r="J31" s="23" t="s">
        <v>48</v>
      </c>
      <c r="K31" s="23" t="s">
        <v>136</v>
      </c>
      <c r="L31" s="23" t="s">
        <v>57</v>
      </c>
      <c r="M31" s="23">
        <v>0</v>
      </c>
      <c r="N31" s="23"/>
      <c r="O31" s="25"/>
      <c r="P31" s="24" t="s">
        <v>50</v>
      </c>
      <c r="Q31" s="24"/>
    </row>
    <row r="32" ht="38.25">
      <c r="A32" s="23" t="s">
        <v>142</v>
      </c>
      <c r="B32" s="23" t="s">
        <v>15</v>
      </c>
      <c r="C32" s="23" t="s">
        <v>118</v>
      </c>
      <c r="D32" s="23" t="s">
        <v>48</v>
      </c>
      <c r="E32" s="23" t="s">
        <v>143</v>
      </c>
      <c r="F32" s="24" t="s">
        <v>144</v>
      </c>
      <c r="G32" s="24" t="s">
        <v>46</v>
      </c>
      <c r="H32" s="23">
        <v>3</v>
      </c>
      <c r="I32" s="23" t="s">
        <v>83</v>
      </c>
      <c r="J32" s="23" t="s">
        <v>48</v>
      </c>
      <c r="K32" s="23" t="s">
        <v>139</v>
      </c>
      <c r="L32" s="23" t="s">
        <v>57</v>
      </c>
      <c r="M32" s="23">
        <v>0</v>
      </c>
      <c r="N32" s="23"/>
      <c r="O32" s="25"/>
      <c r="P32" s="24" t="s">
        <v>50</v>
      </c>
      <c r="Q32" s="24"/>
    </row>
    <row r="33" ht="38.25">
      <c r="A33" s="23" t="s">
        <v>145</v>
      </c>
      <c r="B33" s="23" t="s">
        <v>15</v>
      </c>
      <c r="C33" s="23" t="s">
        <v>118</v>
      </c>
      <c r="D33" s="23" t="s">
        <v>48</v>
      </c>
      <c r="E33" s="23" t="s">
        <v>146</v>
      </c>
      <c r="F33" s="24" t="s">
        <v>147</v>
      </c>
      <c r="G33" s="24" t="s">
        <v>46</v>
      </c>
      <c r="H33" s="23">
        <v>3</v>
      </c>
      <c r="I33" s="23" t="s">
        <v>83</v>
      </c>
      <c r="J33" s="23" t="s">
        <v>48</v>
      </c>
      <c r="K33" s="23" t="s">
        <v>142</v>
      </c>
      <c r="L33" s="23" t="s">
        <v>57</v>
      </c>
      <c r="M33" s="23">
        <v>0</v>
      </c>
      <c r="N33" s="23"/>
      <c r="O33" s="25"/>
      <c r="P33" s="24" t="s">
        <v>50</v>
      </c>
      <c r="Q33" s="24"/>
    </row>
    <row r="34" ht="38.25">
      <c r="A34" s="23" t="s">
        <v>148</v>
      </c>
      <c r="B34" s="23" t="s">
        <v>15</v>
      </c>
      <c r="C34" s="23" t="s">
        <v>118</v>
      </c>
      <c r="D34" s="23" t="s">
        <v>48</v>
      </c>
      <c r="E34" s="23" t="s">
        <v>149</v>
      </c>
      <c r="F34" s="24" t="s">
        <v>150</v>
      </c>
      <c r="G34" s="24" t="s">
        <v>46</v>
      </c>
      <c r="H34" s="23">
        <v>3</v>
      </c>
      <c r="I34" s="23" t="s">
        <v>83</v>
      </c>
      <c r="J34" s="23" t="s">
        <v>48</v>
      </c>
      <c r="K34" s="23" t="s">
        <v>145</v>
      </c>
      <c r="L34" s="23" t="s">
        <v>57</v>
      </c>
      <c r="M34" s="23">
        <v>0</v>
      </c>
      <c r="N34" s="23"/>
      <c r="O34" s="25"/>
      <c r="P34" s="24" t="s">
        <v>50</v>
      </c>
      <c r="Q34" s="24"/>
    </row>
    <row r="35" ht="38.25">
      <c r="A35" s="23" t="s">
        <v>151</v>
      </c>
      <c r="B35" s="23" t="s">
        <v>15</v>
      </c>
      <c r="C35" s="23" t="s">
        <v>118</v>
      </c>
      <c r="D35" s="23" t="s">
        <v>48</v>
      </c>
      <c r="E35" s="23" t="s">
        <v>152</v>
      </c>
      <c r="F35" s="24" t="s">
        <v>153</v>
      </c>
      <c r="G35" s="24" t="s">
        <v>46</v>
      </c>
      <c r="H35" s="23">
        <v>3</v>
      </c>
      <c r="I35" s="23" t="s">
        <v>83</v>
      </c>
      <c r="J35" s="23" t="s">
        <v>48</v>
      </c>
      <c r="K35" s="23" t="s">
        <v>148</v>
      </c>
      <c r="L35" s="23" t="s">
        <v>57</v>
      </c>
      <c r="M35" s="23">
        <v>0</v>
      </c>
      <c r="N35" s="23"/>
      <c r="O35" s="25"/>
      <c r="P35" s="24" t="s">
        <v>50</v>
      </c>
      <c r="Q35" s="24"/>
    </row>
    <row r="36" ht="38.25">
      <c r="A36" s="23" t="s">
        <v>154</v>
      </c>
      <c r="B36" s="23" t="s">
        <v>16</v>
      </c>
      <c r="C36" s="23" t="s">
        <v>155</v>
      </c>
      <c r="D36" s="23" t="s">
        <v>156</v>
      </c>
      <c r="E36" s="23" t="s">
        <v>157</v>
      </c>
      <c r="F36" s="24" t="s">
        <v>158</v>
      </c>
      <c r="G36" s="24" t="s">
        <v>46</v>
      </c>
      <c r="H36" s="23">
        <v>4</v>
      </c>
      <c r="I36" s="23" t="s">
        <v>156</v>
      </c>
      <c r="J36" s="23" t="s">
        <v>48</v>
      </c>
      <c r="K36" s="23"/>
      <c r="L36" s="23" t="s">
        <v>57</v>
      </c>
      <c r="M36" s="23">
        <v>0</v>
      </c>
      <c r="N36" s="23"/>
      <c r="O36" s="25"/>
      <c r="P36" s="24" t="s">
        <v>50</v>
      </c>
      <c r="Q36" s="24"/>
    </row>
    <row r="37" ht="38.25">
      <c r="A37" s="23" t="s">
        <v>159</v>
      </c>
      <c r="B37" s="23" t="s">
        <v>16</v>
      </c>
      <c r="C37" s="23" t="s">
        <v>155</v>
      </c>
      <c r="D37" s="23" t="s">
        <v>156</v>
      </c>
      <c r="E37" s="23" t="s">
        <v>160</v>
      </c>
      <c r="F37" s="24" t="s">
        <v>161</v>
      </c>
      <c r="G37" s="24" t="s">
        <v>46</v>
      </c>
      <c r="H37" s="23">
        <v>4</v>
      </c>
      <c r="I37" s="23" t="s">
        <v>156</v>
      </c>
      <c r="J37" s="23" t="s">
        <v>48</v>
      </c>
      <c r="K37" s="23" t="s">
        <v>154</v>
      </c>
      <c r="L37" s="23" t="s">
        <v>57</v>
      </c>
      <c r="M37" s="23">
        <v>0</v>
      </c>
      <c r="N37" s="23"/>
      <c r="O37" s="25"/>
      <c r="P37" s="24" t="s">
        <v>50</v>
      </c>
      <c r="Q37" s="24"/>
    </row>
    <row r="38" ht="38.25">
      <c r="A38" s="23" t="s">
        <v>162</v>
      </c>
      <c r="B38" s="23" t="s">
        <v>16</v>
      </c>
      <c r="C38" s="23" t="s">
        <v>155</v>
      </c>
      <c r="D38" s="23" t="s">
        <v>156</v>
      </c>
      <c r="E38" s="23" t="s">
        <v>163</v>
      </c>
      <c r="F38" s="24" t="s">
        <v>164</v>
      </c>
      <c r="G38" s="24" t="s">
        <v>46</v>
      </c>
      <c r="H38" s="23">
        <v>4</v>
      </c>
      <c r="I38" s="23" t="s">
        <v>156</v>
      </c>
      <c r="J38" s="23" t="s">
        <v>48</v>
      </c>
      <c r="K38" s="23" t="s">
        <v>159</v>
      </c>
      <c r="L38" s="23" t="s">
        <v>57</v>
      </c>
      <c r="M38" s="23">
        <v>0</v>
      </c>
      <c r="N38" s="23"/>
      <c r="O38" s="25"/>
      <c r="P38" s="24" t="s">
        <v>50</v>
      </c>
      <c r="Q38" s="24"/>
    </row>
    <row r="39" ht="38.25">
      <c r="A39" s="23" t="s">
        <v>165</v>
      </c>
      <c r="B39" s="23" t="s">
        <v>16</v>
      </c>
      <c r="C39" s="23" t="s">
        <v>155</v>
      </c>
      <c r="D39" s="23" t="s">
        <v>156</v>
      </c>
      <c r="E39" s="23" t="s">
        <v>166</v>
      </c>
      <c r="F39" s="24" t="s">
        <v>167</v>
      </c>
      <c r="G39" s="24" t="s">
        <v>46</v>
      </c>
      <c r="H39" s="23">
        <v>4</v>
      </c>
      <c r="I39" s="23" t="s">
        <v>156</v>
      </c>
      <c r="J39" s="23" t="s">
        <v>48</v>
      </c>
      <c r="K39" s="23" t="s">
        <v>162</v>
      </c>
      <c r="L39" s="23" t="s">
        <v>57</v>
      </c>
      <c r="M39" s="23">
        <v>0</v>
      </c>
      <c r="N39" s="23"/>
      <c r="O39" s="25"/>
      <c r="P39" s="24" t="s">
        <v>50</v>
      </c>
      <c r="Q39" s="24"/>
    </row>
    <row r="40" ht="38.25">
      <c r="A40" s="23" t="s">
        <v>168</v>
      </c>
      <c r="B40" s="23" t="s">
        <v>16</v>
      </c>
      <c r="C40" s="23" t="s">
        <v>155</v>
      </c>
      <c r="D40" s="23" t="s">
        <v>156</v>
      </c>
      <c r="E40" s="23" t="s">
        <v>169</v>
      </c>
      <c r="F40" s="24" t="s">
        <v>170</v>
      </c>
      <c r="G40" s="24" t="s">
        <v>46</v>
      </c>
      <c r="H40" s="23">
        <v>4</v>
      </c>
      <c r="I40" s="23" t="s">
        <v>156</v>
      </c>
      <c r="J40" s="23" t="s">
        <v>48</v>
      </c>
      <c r="K40" s="23" t="s">
        <v>165</v>
      </c>
      <c r="L40" s="23" t="s">
        <v>57</v>
      </c>
      <c r="M40" s="23">
        <v>0</v>
      </c>
      <c r="N40" s="23"/>
      <c r="O40" s="25"/>
      <c r="P40" s="24" t="s">
        <v>50</v>
      </c>
      <c r="Q40" s="24"/>
    </row>
    <row r="41" ht="38.25">
      <c r="A41" s="23" t="s">
        <v>171</v>
      </c>
      <c r="B41" s="23" t="s">
        <v>16</v>
      </c>
      <c r="C41" s="23" t="s">
        <v>155</v>
      </c>
      <c r="D41" s="23" t="s">
        <v>156</v>
      </c>
      <c r="E41" s="23" t="s">
        <v>172</v>
      </c>
      <c r="F41" s="24" t="s">
        <v>173</v>
      </c>
      <c r="G41" s="24" t="s">
        <v>46</v>
      </c>
      <c r="H41" s="23">
        <v>4</v>
      </c>
      <c r="I41" s="23" t="s">
        <v>156</v>
      </c>
      <c r="J41" s="23" t="s">
        <v>48</v>
      </c>
      <c r="K41" s="23" t="s">
        <v>168</v>
      </c>
      <c r="L41" s="23" t="s">
        <v>57</v>
      </c>
      <c r="M41" s="23">
        <v>0</v>
      </c>
      <c r="N41" s="23"/>
      <c r="O41" s="25"/>
      <c r="P41" s="24" t="s">
        <v>50</v>
      </c>
      <c r="Q41" s="24"/>
    </row>
    <row r="42" ht="38.25">
      <c r="A42" s="23" t="s">
        <v>174</v>
      </c>
      <c r="B42" s="23" t="s">
        <v>16</v>
      </c>
      <c r="C42" s="23" t="s">
        <v>155</v>
      </c>
      <c r="D42" s="23" t="s">
        <v>156</v>
      </c>
      <c r="E42" s="23" t="s">
        <v>175</v>
      </c>
      <c r="F42" s="24" t="s">
        <v>176</v>
      </c>
      <c r="G42" s="24" t="s">
        <v>46</v>
      </c>
      <c r="H42" s="23">
        <v>4</v>
      </c>
      <c r="I42" s="23" t="s">
        <v>156</v>
      </c>
      <c r="J42" s="23" t="s">
        <v>48</v>
      </c>
      <c r="K42" s="23" t="s">
        <v>171</v>
      </c>
      <c r="L42" s="23" t="s">
        <v>57</v>
      </c>
      <c r="M42" s="23">
        <v>0</v>
      </c>
      <c r="N42" s="23"/>
      <c r="O42" s="25"/>
      <c r="P42" s="24" t="s">
        <v>50</v>
      </c>
      <c r="Q42" s="24"/>
    </row>
    <row r="43" ht="38.25">
      <c r="A43" s="23" t="s">
        <v>177</v>
      </c>
      <c r="B43" s="23" t="s">
        <v>16</v>
      </c>
      <c r="C43" s="23" t="s">
        <v>155</v>
      </c>
      <c r="D43" s="23" t="s">
        <v>156</v>
      </c>
      <c r="E43" s="23" t="s">
        <v>178</v>
      </c>
      <c r="F43" s="24" t="s">
        <v>179</v>
      </c>
      <c r="G43" s="24" t="s">
        <v>46</v>
      </c>
      <c r="H43" s="23">
        <v>4</v>
      </c>
      <c r="I43" s="23" t="s">
        <v>156</v>
      </c>
      <c r="J43" s="23" t="s">
        <v>48</v>
      </c>
      <c r="K43" s="23" t="s">
        <v>174</v>
      </c>
      <c r="L43" s="23" t="s">
        <v>57</v>
      </c>
      <c r="M43" s="23">
        <v>0</v>
      </c>
      <c r="N43" s="23"/>
      <c r="O43" s="25"/>
      <c r="P43" s="24" t="s">
        <v>50</v>
      </c>
      <c r="Q43" s="24"/>
    </row>
    <row r="44" ht="38.25">
      <c r="A44" s="23" t="s">
        <v>180</v>
      </c>
      <c r="B44" s="23" t="s">
        <v>16</v>
      </c>
      <c r="C44" s="23" t="s">
        <v>155</v>
      </c>
      <c r="D44" s="23" t="s">
        <v>156</v>
      </c>
      <c r="E44" s="23" t="s">
        <v>181</v>
      </c>
      <c r="F44" s="24" t="s">
        <v>182</v>
      </c>
      <c r="G44" s="24" t="s">
        <v>46</v>
      </c>
      <c r="H44" s="23">
        <v>4</v>
      </c>
      <c r="I44" s="23" t="s">
        <v>156</v>
      </c>
      <c r="J44" s="23" t="s">
        <v>48</v>
      </c>
      <c r="K44" s="23" t="s">
        <v>177</v>
      </c>
      <c r="L44" s="23" t="s">
        <v>57</v>
      </c>
      <c r="M44" s="23">
        <v>0</v>
      </c>
      <c r="N44" s="23"/>
      <c r="O44" s="25"/>
      <c r="P44" s="24" t="s">
        <v>50</v>
      </c>
      <c r="Q44" s="24"/>
    </row>
    <row r="45" ht="38.25">
      <c r="A45" s="23" t="s">
        <v>183</v>
      </c>
      <c r="B45" s="23" t="s">
        <v>16</v>
      </c>
      <c r="C45" s="23" t="s">
        <v>155</v>
      </c>
      <c r="D45" s="23" t="s">
        <v>156</v>
      </c>
      <c r="E45" s="23" t="s">
        <v>184</v>
      </c>
      <c r="F45" s="24" t="s">
        <v>185</v>
      </c>
      <c r="G45" s="24" t="s">
        <v>46</v>
      </c>
      <c r="H45" s="23">
        <v>4</v>
      </c>
      <c r="I45" s="23" t="s">
        <v>156</v>
      </c>
      <c r="J45" s="23" t="s">
        <v>48</v>
      </c>
      <c r="K45" s="23" t="s">
        <v>180</v>
      </c>
      <c r="L45" s="23" t="s">
        <v>57</v>
      </c>
      <c r="M45" s="23">
        <v>0</v>
      </c>
      <c r="N45" s="23"/>
      <c r="O45" s="25"/>
      <c r="P45" s="24" t="s">
        <v>50</v>
      </c>
      <c r="Q45" s="24"/>
    </row>
    <row r="46" ht="38.25">
      <c r="A46" s="23" t="s">
        <v>186</v>
      </c>
      <c r="B46" s="23" t="s">
        <v>16</v>
      </c>
      <c r="C46" s="23" t="s">
        <v>155</v>
      </c>
      <c r="D46" s="23" t="s">
        <v>156</v>
      </c>
      <c r="E46" s="23" t="s">
        <v>187</v>
      </c>
      <c r="F46" s="24" t="s">
        <v>188</v>
      </c>
      <c r="G46" s="24" t="s">
        <v>46</v>
      </c>
      <c r="H46" s="23">
        <v>4</v>
      </c>
      <c r="I46" s="23" t="s">
        <v>156</v>
      </c>
      <c r="J46" s="23" t="s">
        <v>48</v>
      </c>
      <c r="K46" s="23" t="s">
        <v>183</v>
      </c>
      <c r="L46" s="23" t="s">
        <v>57</v>
      </c>
      <c r="M46" s="23">
        <v>0</v>
      </c>
      <c r="N46" s="23"/>
      <c r="O46" s="25"/>
      <c r="P46" s="24" t="s">
        <v>50</v>
      </c>
      <c r="Q46" s="24"/>
    </row>
    <row r="47" ht="38.25">
      <c r="A47" s="23" t="s">
        <v>189</v>
      </c>
      <c r="B47" s="23" t="s">
        <v>16</v>
      </c>
      <c r="C47" s="23" t="s">
        <v>155</v>
      </c>
      <c r="D47" s="23" t="s">
        <v>156</v>
      </c>
      <c r="E47" s="23" t="s">
        <v>190</v>
      </c>
      <c r="F47" s="24" t="s">
        <v>191</v>
      </c>
      <c r="G47" s="24" t="s">
        <v>46</v>
      </c>
      <c r="H47" s="23">
        <v>4</v>
      </c>
      <c r="I47" s="23" t="s">
        <v>156</v>
      </c>
      <c r="J47" s="23" t="s">
        <v>48</v>
      </c>
      <c r="K47" s="23" t="s">
        <v>186</v>
      </c>
      <c r="L47" s="23" t="s">
        <v>57</v>
      </c>
      <c r="M47" s="23">
        <v>0</v>
      </c>
      <c r="N47" s="23"/>
      <c r="O47" s="25"/>
      <c r="P47" s="24" t="s">
        <v>50</v>
      </c>
      <c r="Q47" s="24"/>
    </row>
    <row r="48" ht="38.25">
      <c r="A48" s="23" t="s">
        <v>192</v>
      </c>
      <c r="B48" s="23" t="s">
        <v>16</v>
      </c>
      <c r="C48" s="23" t="s">
        <v>155</v>
      </c>
      <c r="D48" s="23" t="s">
        <v>156</v>
      </c>
      <c r="E48" s="23" t="s">
        <v>193</v>
      </c>
      <c r="F48" s="24" t="s">
        <v>194</v>
      </c>
      <c r="G48" s="24" t="s">
        <v>46</v>
      </c>
      <c r="H48" s="23">
        <v>4</v>
      </c>
      <c r="I48" s="23" t="s">
        <v>156</v>
      </c>
      <c r="J48" s="23" t="s">
        <v>48</v>
      </c>
      <c r="K48" s="23" t="s">
        <v>189</v>
      </c>
      <c r="L48" s="23" t="s">
        <v>57</v>
      </c>
      <c r="M48" s="23">
        <v>0</v>
      </c>
      <c r="N48" s="23"/>
      <c r="O48" s="25"/>
      <c r="P48" s="24" t="s">
        <v>50</v>
      </c>
      <c r="Q48" s="24"/>
    </row>
    <row r="49" ht="38.25">
      <c r="A49" s="23" t="s">
        <v>195</v>
      </c>
      <c r="B49" s="23" t="s">
        <v>16</v>
      </c>
      <c r="C49" s="23" t="s">
        <v>155</v>
      </c>
      <c r="D49" s="23" t="s">
        <v>156</v>
      </c>
      <c r="E49" s="23" t="s">
        <v>196</v>
      </c>
      <c r="F49" s="24" t="s">
        <v>197</v>
      </c>
      <c r="G49" s="24" t="s">
        <v>46</v>
      </c>
      <c r="H49" s="23">
        <v>4</v>
      </c>
      <c r="I49" s="23" t="s">
        <v>156</v>
      </c>
      <c r="J49" s="23" t="s">
        <v>48</v>
      </c>
      <c r="K49" s="23" t="s">
        <v>192</v>
      </c>
      <c r="L49" s="23" t="s">
        <v>57</v>
      </c>
      <c r="M49" s="23">
        <v>0</v>
      </c>
      <c r="N49" s="23"/>
      <c r="O49" s="25"/>
      <c r="P49" s="24" t="s">
        <v>50</v>
      </c>
      <c r="Q49" s="24"/>
    </row>
    <row r="50" ht="38.25">
      <c r="A50" s="23" t="s">
        <v>198</v>
      </c>
      <c r="B50" s="23" t="s">
        <v>17</v>
      </c>
      <c r="C50" s="23" t="s">
        <v>199</v>
      </c>
      <c r="D50" s="23" t="s">
        <v>200</v>
      </c>
      <c r="E50" s="23" t="s">
        <v>201</v>
      </c>
      <c r="F50" s="24" t="s">
        <v>202</v>
      </c>
      <c r="G50" s="24" t="s">
        <v>46</v>
      </c>
      <c r="H50" s="23">
        <v>4</v>
      </c>
      <c r="I50" s="23" t="s">
        <v>83</v>
      </c>
      <c r="J50" s="23" t="s">
        <v>203</v>
      </c>
      <c r="K50" s="23"/>
      <c r="L50" s="23" t="s">
        <v>57</v>
      </c>
      <c r="M50" s="23">
        <v>0</v>
      </c>
      <c r="N50" s="23"/>
      <c r="O50" s="25"/>
      <c r="P50" s="24" t="s">
        <v>50</v>
      </c>
      <c r="Q50" s="24"/>
    </row>
    <row r="51" ht="38.25">
      <c r="A51" s="23" t="s">
        <v>204</v>
      </c>
      <c r="B51" s="23" t="s">
        <v>17</v>
      </c>
      <c r="C51" s="23" t="s">
        <v>199</v>
      </c>
      <c r="D51" s="23" t="s">
        <v>200</v>
      </c>
      <c r="E51" s="23" t="s">
        <v>205</v>
      </c>
      <c r="F51" s="24" t="s">
        <v>206</v>
      </c>
      <c r="G51" s="24" t="s">
        <v>46</v>
      </c>
      <c r="H51" s="23">
        <v>4</v>
      </c>
      <c r="I51" s="23" t="s">
        <v>83</v>
      </c>
      <c r="J51" s="23" t="s">
        <v>203</v>
      </c>
      <c r="K51" s="23" t="s">
        <v>198</v>
      </c>
      <c r="L51" s="23" t="s">
        <v>57</v>
      </c>
      <c r="M51" s="23">
        <v>0</v>
      </c>
      <c r="N51" s="23"/>
      <c r="O51" s="25"/>
      <c r="P51" s="24" t="s">
        <v>50</v>
      </c>
      <c r="Q51" s="24"/>
    </row>
    <row r="52" ht="38.25">
      <c r="A52" s="23" t="s">
        <v>207</v>
      </c>
      <c r="B52" s="23" t="s">
        <v>17</v>
      </c>
      <c r="C52" s="23" t="s">
        <v>199</v>
      </c>
      <c r="D52" s="23" t="s">
        <v>200</v>
      </c>
      <c r="E52" s="23" t="s">
        <v>208</v>
      </c>
      <c r="F52" s="24" t="s">
        <v>209</v>
      </c>
      <c r="G52" s="24" t="s">
        <v>46</v>
      </c>
      <c r="H52" s="23">
        <v>4</v>
      </c>
      <c r="I52" s="23" t="s">
        <v>83</v>
      </c>
      <c r="J52" s="23" t="s">
        <v>203</v>
      </c>
      <c r="K52" s="23" t="s">
        <v>204</v>
      </c>
      <c r="L52" s="23" t="s">
        <v>57</v>
      </c>
      <c r="M52" s="23">
        <v>0</v>
      </c>
      <c r="N52" s="23"/>
      <c r="O52" s="25"/>
      <c r="P52" s="24" t="s">
        <v>50</v>
      </c>
      <c r="Q52" s="24"/>
    </row>
    <row r="53" ht="38.25">
      <c r="A53" s="23" t="s">
        <v>210</v>
      </c>
      <c r="B53" s="23" t="s">
        <v>17</v>
      </c>
      <c r="C53" s="23" t="s">
        <v>199</v>
      </c>
      <c r="D53" s="23" t="s">
        <v>200</v>
      </c>
      <c r="E53" s="23" t="s">
        <v>211</v>
      </c>
      <c r="F53" s="24" t="s">
        <v>212</v>
      </c>
      <c r="G53" s="24" t="s">
        <v>46</v>
      </c>
      <c r="H53" s="23">
        <v>4</v>
      </c>
      <c r="I53" s="23" t="s">
        <v>83</v>
      </c>
      <c r="J53" s="23" t="s">
        <v>203</v>
      </c>
      <c r="K53" s="23" t="s">
        <v>207</v>
      </c>
      <c r="L53" s="23" t="s">
        <v>57</v>
      </c>
      <c r="M53" s="23">
        <v>0</v>
      </c>
      <c r="N53" s="23"/>
      <c r="O53" s="25"/>
      <c r="P53" s="24" t="s">
        <v>50</v>
      </c>
      <c r="Q53" s="24"/>
    </row>
    <row r="54" ht="38.25">
      <c r="A54" s="23" t="s">
        <v>213</v>
      </c>
      <c r="B54" s="23" t="s">
        <v>17</v>
      </c>
      <c r="C54" s="23" t="s">
        <v>199</v>
      </c>
      <c r="D54" s="23" t="s">
        <v>200</v>
      </c>
      <c r="E54" s="23" t="s">
        <v>214</v>
      </c>
      <c r="F54" s="24" t="s">
        <v>215</v>
      </c>
      <c r="G54" s="24" t="s">
        <v>46</v>
      </c>
      <c r="H54" s="23">
        <v>4</v>
      </c>
      <c r="I54" s="23" t="s">
        <v>83</v>
      </c>
      <c r="J54" s="23" t="s">
        <v>203</v>
      </c>
      <c r="K54" s="23" t="s">
        <v>210</v>
      </c>
      <c r="L54" s="23" t="s">
        <v>57</v>
      </c>
      <c r="M54" s="23">
        <v>0</v>
      </c>
      <c r="N54" s="23"/>
      <c r="O54" s="25"/>
      <c r="P54" s="24" t="s">
        <v>50</v>
      </c>
      <c r="Q54" s="24"/>
    </row>
    <row r="55" ht="38.25">
      <c r="A55" s="23" t="s">
        <v>216</v>
      </c>
      <c r="B55" s="23" t="s">
        <v>17</v>
      </c>
      <c r="C55" s="23" t="s">
        <v>199</v>
      </c>
      <c r="D55" s="23" t="s">
        <v>200</v>
      </c>
      <c r="E55" s="23" t="s">
        <v>217</v>
      </c>
      <c r="F55" s="24" t="s">
        <v>218</v>
      </c>
      <c r="G55" s="24" t="s">
        <v>46</v>
      </c>
      <c r="H55" s="23">
        <v>4</v>
      </c>
      <c r="I55" s="23" t="s">
        <v>83</v>
      </c>
      <c r="J55" s="23" t="s">
        <v>203</v>
      </c>
      <c r="K55" s="23" t="s">
        <v>213</v>
      </c>
      <c r="L55" s="23" t="s">
        <v>57</v>
      </c>
      <c r="M55" s="23">
        <v>0</v>
      </c>
      <c r="N55" s="23"/>
      <c r="O55" s="25"/>
      <c r="P55" s="24" t="s">
        <v>50</v>
      </c>
      <c r="Q55" s="24"/>
    </row>
    <row r="56" ht="38.25">
      <c r="A56" s="23" t="s">
        <v>219</v>
      </c>
      <c r="B56" s="23" t="s">
        <v>17</v>
      </c>
      <c r="C56" s="23" t="s">
        <v>199</v>
      </c>
      <c r="D56" s="23" t="s">
        <v>200</v>
      </c>
      <c r="E56" s="23" t="s">
        <v>220</v>
      </c>
      <c r="F56" s="24" t="s">
        <v>221</v>
      </c>
      <c r="G56" s="24" t="s">
        <v>46</v>
      </c>
      <c r="H56" s="23">
        <v>4</v>
      </c>
      <c r="I56" s="23" t="s">
        <v>83</v>
      </c>
      <c r="J56" s="23" t="s">
        <v>203</v>
      </c>
      <c r="K56" s="23" t="s">
        <v>216</v>
      </c>
      <c r="L56" s="23" t="s">
        <v>57</v>
      </c>
      <c r="M56" s="23">
        <v>0</v>
      </c>
      <c r="N56" s="23"/>
      <c r="O56" s="25"/>
      <c r="P56" s="24" t="s">
        <v>50</v>
      </c>
      <c r="Q56" s="24"/>
    </row>
    <row r="57" ht="38.25">
      <c r="A57" s="23" t="s">
        <v>222</v>
      </c>
      <c r="B57" s="23" t="s">
        <v>17</v>
      </c>
      <c r="C57" s="23" t="s">
        <v>199</v>
      </c>
      <c r="D57" s="23" t="s">
        <v>200</v>
      </c>
      <c r="E57" s="23" t="s">
        <v>223</v>
      </c>
      <c r="F57" s="24" t="s">
        <v>224</v>
      </c>
      <c r="G57" s="24" t="s">
        <v>46</v>
      </c>
      <c r="H57" s="23">
        <v>4</v>
      </c>
      <c r="I57" s="23" t="s">
        <v>83</v>
      </c>
      <c r="J57" s="23" t="s">
        <v>203</v>
      </c>
      <c r="K57" s="23" t="s">
        <v>219</v>
      </c>
      <c r="L57" s="23" t="s">
        <v>57</v>
      </c>
      <c r="M57" s="23">
        <v>0</v>
      </c>
      <c r="N57" s="23"/>
      <c r="O57" s="25"/>
      <c r="P57" s="24" t="s">
        <v>50</v>
      </c>
      <c r="Q57" s="24"/>
    </row>
    <row r="58" ht="38.25">
      <c r="A58" s="23" t="s">
        <v>225</v>
      </c>
      <c r="B58" s="23" t="s">
        <v>18</v>
      </c>
      <c r="C58" s="23" t="s">
        <v>226</v>
      </c>
      <c r="D58" s="23" t="s">
        <v>156</v>
      </c>
      <c r="E58" s="23" t="s">
        <v>227</v>
      </c>
      <c r="F58" s="24" t="s">
        <v>228</v>
      </c>
      <c r="G58" s="24" t="s">
        <v>46</v>
      </c>
      <c r="H58" s="23">
        <v>4</v>
      </c>
      <c r="I58" s="23" t="s">
        <v>156</v>
      </c>
      <c r="J58" s="23" t="s">
        <v>48</v>
      </c>
      <c r="K58" s="23"/>
      <c r="L58" s="23" t="s">
        <v>57</v>
      </c>
      <c r="M58" s="23">
        <v>0</v>
      </c>
      <c r="N58" s="23"/>
      <c r="O58" s="25"/>
      <c r="P58" s="24" t="s">
        <v>50</v>
      </c>
      <c r="Q58" s="24"/>
    </row>
    <row r="59" ht="38.25">
      <c r="A59" s="23" t="s">
        <v>229</v>
      </c>
      <c r="B59" s="23" t="s">
        <v>18</v>
      </c>
      <c r="C59" s="23" t="s">
        <v>226</v>
      </c>
      <c r="D59" s="23" t="s">
        <v>156</v>
      </c>
      <c r="E59" s="23" t="s">
        <v>230</v>
      </c>
      <c r="F59" s="24" t="s">
        <v>231</v>
      </c>
      <c r="G59" s="24" t="s">
        <v>46</v>
      </c>
      <c r="H59" s="23">
        <v>4</v>
      </c>
      <c r="I59" s="23" t="s">
        <v>156</v>
      </c>
      <c r="J59" s="23" t="s">
        <v>48</v>
      </c>
      <c r="K59" s="23" t="s">
        <v>225</v>
      </c>
      <c r="L59" s="23" t="s">
        <v>57</v>
      </c>
      <c r="M59" s="23">
        <v>0</v>
      </c>
      <c r="N59" s="23"/>
      <c r="O59" s="25"/>
      <c r="P59" s="24" t="s">
        <v>50</v>
      </c>
      <c r="Q59" s="24"/>
    </row>
    <row r="60" ht="38.25">
      <c r="A60" s="23" t="s">
        <v>232</v>
      </c>
      <c r="B60" s="23" t="s">
        <v>18</v>
      </c>
      <c r="C60" s="23" t="s">
        <v>226</v>
      </c>
      <c r="D60" s="23" t="s">
        <v>156</v>
      </c>
      <c r="E60" s="23" t="s">
        <v>233</v>
      </c>
      <c r="F60" s="24" t="s">
        <v>234</v>
      </c>
      <c r="G60" s="24" t="s">
        <v>46</v>
      </c>
      <c r="H60" s="23">
        <v>4</v>
      </c>
      <c r="I60" s="23" t="s">
        <v>156</v>
      </c>
      <c r="J60" s="23" t="s">
        <v>48</v>
      </c>
      <c r="K60" s="23" t="s">
        <v>229</v>
      </c>
      <c r="L60" s="23" t="s">
        <v>57</v>
      </c>
      <c r="M60" s="23">
        <v>0</v>
      </c>
      <c r="N60" s="23"/>
      <c r="O60" s="25"/>
      <c r="P60" s="24" t="s">
        <v>50</v>
      </c>
      <c r="Q60" s="24"/>
    </row>
    <row r="61" ht="38.25">
      <c r="A61" s="23" t="s">
        <v>235</v>
      </c>
      <c r="B61" s="23" t="s">
        <v>18</v>
      </c>
      <c r="C61" s="23" t="s">
        <v>226</v>
      </c>
      <c r="D61" s="23" t="s">
        <v>156</v>
      </c>
      <c r="E61" s="23" t="s">
        <v>236</v>
      </c>
      <c r="F61" s="24" t="s">
        <v>237</v>
      </c>
      <c r="G61" s="24" t="s">
        <v>46</v>
      </c>
      <c r="H61" s="23">
        <v>4</v>
      </c>
      <c r="I61" s="23" t="s">
        <v>156</v>
      </c>
      <c r="J61" s="23" t="s">
        <v>48</v>
      </c>
      <c r="K61" s="23" t="s">
        <v>232</v>
      </c>
      <c r="L61" s="23" t="s">
        <v>57</v>
      </c>
      <c r="M61" s="23">
        <v>0</v>
      </c>
      <c r="N61" s="23"/>
      <c r="O61" s="25"/>
      <c r="P61" s="24" t="s">
        <v>50</v>
      </c>
      <c r="Q61" s="24"/>
    </row>
    <row r="62" ht="38.25">
      <c r="A62" s="23" t="s">
        <v>238</v>
      </c>
      <c r="B62" s="23" t="s">
        <v>18</v>
      </c>
      <c r="C62" s="23" t="s">
        <v>226</v>
      </c>
      <c r="D62" s="23" t="s">
        <v>156</v>
      </c>
      <c r="E62" s="23" t="s">
        <v>239</v>
      </c>
      <c r="F62" s="24" t="s">
        <v>240</v>
      </c>
      <c r="G62" s="24" t="s">
        <v>46</v>
      </c>
      <c r="H62" s="23">
        <v>4</v>
      </c>
      <c r="I62" s="23" t="s">
        <v>156</v>
      </c>
      <c r="J62" s="23" t="s">
        <v>48</v>
      </c>
      <c r="K62" s="23" t="s">
        <v>235</v>
      </c>
      <c r="L62" s="23" t="s">
        <v>57</v>
      </c>
      <c r="M62" s="23">
        <v>0</v>
      </c>
      <c r="N62" s="23"/>
      <c r="O62" s="25"/>
      <c r="P62" s="24" t="s">
        <v>50</v>
      </c>
      <c r="Q62" s="24"/>
    </row>
    <row r="63" ht="38.25">
      <c r="A63" s="23" t="s">
        <v>241</v>
      </c>
      <c r="B63" s="23" t="s">
        <v>18</v>
      </c>
      <c r="C63" s="23" t="s">
        <v>226</v>
      </c>
      <c r="D63" s="23" t="s">
        <v>156</v>
      </c>
      <c r="E63" s="23" t="s">
        <v>242</v>
      </c>
      <c r="F63" s="24" t="s">
        <v>243</v>
      </c>
      <c r="G63" s="24" t="s">
        <v>46</v>
      </c>
      <c r="H63" s="23">
        <v>4</v>
      </c>
      <c r="I63" s="23" t="s">
        <v>156</v>
      </c>
      <c r="J63" s="23" t="s">
        <v>48</v>
      </c>
      <c r="K63" s="23" t="s">
        <v>238</v>
      </c>
      <c r="L63" s="23" t="s">
        <v>57</v>
      </c>
      <c r="M63" s="23">
        <v>0</v>
      </c>
      <c r="N63" s="23"/>
      <c r="O63" s="25"/>
      <c r="P63" s="24" t="s">
        <v>50</v>
      </c>
      <c r="Q63" s="24"/>
    </row>
    <row r="64" ht="38.25">
      <c r="A64" s="23" t="s">
        <v>244</v>
      </c>
      <c r="B64" s="23" t="s">
        <v>18</v>
      </c>
      <c r="C64" s="23" t="s">
        <v>226</v>
      </c>
      <c r="D64" s="23" t="s">
        <v>156</v>
      </c>
      <c r="E64" s="23" t="s">
        <v>245</v>
      </c>
      <c r="F64" s="24" t="s">
        <v>246</v>
      </c>
      <c r="G64" s="24" t="s">
        <v>46</v>
      </c>
      <c r="H64" s="23">
        <v>4</v>
      </c>
      <c r="I64" s="23" t="s">
        <v>156</v>
      </c>
      <c r="J64" s="23" t="s">
        <v>48</v>
      </c>
      <c r="K64" s="23" t="s">
        <v>241</v>
      </c>
      <c r="L64" s="23" t="s">
        <v>57</v>
      </c>
      <c r="M64" s="23">
        <v>0</v>
      </c>
      <c r="N64" s="23"/>
      <c r="O64" s="25"/>
      <c r="P64" s="24" t="s">
        <v>50</v>
      </c>
      <c r="Q64" s="24"/>
    </row>
    <row r="65" ht="41.75">
      <c r="A65" s="23" t="s">
        <v>247</v>
      </c>
      <c r="B65" s="23" t="s">
        <v>18</v>
      </c>
      <c r="C65" s="23" t="s">
        <v>226</v>
      </c>
      <c r="D65" s="23" t="s">
        <v>156</v>
      </c>
      <c r="E65" s="23" t="s">
        <v>248</v>
      </c>
      <c r="F65" s="24" t="s">
        <v>249</v>
      </c>
      <c r="G65" s="24" t="s">
        <v>46</v>
      </c>
      <c r="H65" s="23">
        <v>4</v>
      </c>
      <c r="I65" s="23" t="s">
        <v>156</v>
      </c>
      <c r="J65" s="23" t="s">
        <v>48</v>
      </c>
      <c r="K65" s="23" t="s">
        <v>244</v>
      </c>
      <c r="L65" s="23" t="s">
        <v>57</v>
      </c>
      <c r="M65" s="23">
        <v>0</v>
      </c>
      <c r="N65" s="23"/>
      <c r="O65" s="25"/>
      <c r="P65" s="24" t="s">
        <v>50</v>
      </c>
      <c r="Q65" s="24"/>
    </row>
    <row r="66" ht="41.75">
      <c r="A66" s="23" t="s">
        <v>250</v>
      </c>
      <c r="B66" s="23" t="s">
        <v>18</v>
      </c>
      <c r="C66" s="23" t="s">
        <v>226</v>
      </c>
      <c r="D66" s="23" t="s">
        <v>156</v>
      </c>
      <c r="E66" s="23" t="s">
        <v>251</v>
      </c>
      <c r="F66" s="24" t="s">
        <v>252</v>
      </c>
      <c r="G66" s="24" t="s">
        <v>46</v>
      </c>
      <c r="H66" s="23">
        <v>4</v>
      </c>
      <c r="I66" s="23" t="s">
        <v>156</v>
      </c>
      <c r="J66" s="23" t="s">
        <v>48</v>
      </c>
      <c r="K66" s="23" t="s">
        <v>247</v>
      </c>
      <c r="L66" s="23" t="s">
        <v>57</v>
      </c>
      <c r="M66" s="23">
        <v>0</v>
      </c>
      <c r="N66" s="23"/>
      <c r="O66" s="25"/>
      <c r="P66" s="24" t="s">
        <v>50</v>
      </c>
      <c r="Q66" s="24"/>
    </row>
    <row r="67" ht="41.75">
      <c r="A67" s="23" t="s">
        <v>253</v>
      </c>
      <c r="B67" s="23" t="s">
        <v>18</v>
      </c>
      <c r="C67" s="23" t="s">
        <v>226</v>
      </c>
      <c r="D67" s="23" t="s">
        <v>156</v>
      </c>
      <c r="E67" s="23" t="s">
        <v>254</v>
      </c>
      <c r="F67" s="24" t="s">
        <v>255</v>
      </c>
      <c r="G67" s="24" t="s">
        <v>46</v>
      </c>
      <c r="H67" s="23">
        <v>4</v>
      </c>
      <c r="I67" s="23" t="s">
        <v>156</v>
      </c>
      <c r="J67" s="23" t="s">
        <v>48</v>
      </c>
      <c r="K67" s="23" t="s">
        <v>250</v>
      </c>
      <c r="L67" s="23" t="s">
        <v>57</v>
      </c>
      <c r="M67" s="23">
        <v>0</v>
      </c>
      <c r="N67" s="23"/>
      <c r="O67" s="25"/>
      <c r="P67" s="24" t="s">
        <v>50</v>
      </c>
      <c r="Q67" s="24"/>
    </row>
    <row r="68" ht="41.75">
      <c r="A68" s="23" t="s">
        <v>256</v>
      </c>
      <c r="B68" s="23" t="s">
        <v>18</v>
      </c>
      <c r="C68" s="23" t="s">
        <v>226</v>
      </c>
      <c r="D68" s="23" t="s">
        <v>156</v>
      </c>
      <c r="E68" s="23" t="s">
        <v>257</v>
      </c>
      <c r="F68" s="24" t="s">
        <v>258</v>
      </c>
      <c r="G68" s="24" t="s">
        <v>46</v>
      </c>
      <c r="H68" s="23">
        <v>4</v>
      </c>
      <c r="I68" s="23" t="s">
        <v>156</v>
      </c>
      <c r="J68" s="23" t="s">
        <v>48</v>
      </c>
      <c r="K68" s="23" t="s">
        <v>253</v>
      </c>
      <c r="L68" s="23" t="s">
        <v>57</v>
      </c>
      <c r="M68" s="23">
        <v>0</v>
      </c>
      <c r="N68" s="23"/>
      <c r="O68" s="25"/>
      <c r="P68" s="24" t="s">
        <v>50</v>
      </c>
      <c r="Q68" s="24"/>
    </row>
    <row r="69" ht="41.75">
      <c r="A69" s="23" t="s">
        <v>259</v>
      </c>
      <c r="B69" s="23" t="s">
        <v>18</v>
      </c>
      <c r="C69" s="23" t="s">
        <v>226</v>
      </c>
      <c r="D69" s="23" t="s">
        <v>156</v>
      </c>
      <c r="E69" s="23" t="s">
        <v>260</v>
      </c>
      <c r="F69" s="24" t="s">
        <v>261</v>
      </c>
      <c r="G69" s="24" t="s">
        <v>46</v>
      </c>
      <c r="H69" s="23">
        <v>4</v>
      </c>
      <c r="I69" s="23" t="s">
        <v>156</v>
      </c>
      <c r="J69" s="23" t="s">
        <v>48</v>
      </c>
      <c r="K69" s="23" t="s">
        <v>256</v>
      </c>
      <c r="L69" s="23" t="s">
        <v>57</v>
      </c>
      <c r="M69" s="23">
        <v>0</v>
      </c>
      <c r="N69" s="23"/>
      <c r="O69" s="25"/>
      <c r="P69" s="24" t="s">
        <v>50</v>
      </c>
      <c r="Q69" s="24"/>
    </row>
    <row r="70" ht="41.75">
      <c r="A70" s="23" t="s">
        <v>262</v>
      </c>
      <c r="B70" s="23" t="s">
        <v>19</v>
      </c>
      <c r="C70" s="23" t="s">
        <v>263</v>
      </c>
      <c r="D70" s="23" t="s">
        <v>156</v>
      </c>
      <c r="E70" s="23" t="s">
        <v>264</v>
      </c>
      <c r="F70" s="24" t="s">
        <v>265</v>
      </c>
      <c r="G70" s="24" t="s">
        <v>46</v>
      </c>
      <c r="H70" s="23">
        <v>4</v>
      </c>
      <c r="I70" s="23" t="s">
        <v>156</v>
      </c>
      <c r="J70" s="23" t="s">
        <v>48</v>
      </c>
      <c r="K70" s="23"/>
      <c r="L70" s="23" t="s">
        <v>57</v>
      </c>
      <c r="M70" s="23">
        <v>0</v>
      </c>
      <c r="N70" s="23"/>
      <c r="O70" s="25"/>
      <c r="P70" s="24" t="s">
        <v>50</v>
      </c>
      <c r="Q70" s="24"/>
    </row>
    <row r="71" ht="41.75">
      <c r="A71" s="23" t="s">
        <v>266</v>
      </c>
      <c r="B71" s="23" t="s">
        <v>19</v>
      </c>
      <c r="C71" s="23" t="s">
        <v>263</v>
      </c>
      <c r="D71" s="23" t="s">
        <v>156</v>
      </c>
      <c r="E71" s="23" t="s">
        <v>267</v>
      </c>
      <c r="F71" s="24" t="s">
        <v>268</v>
      </c>
      <c r="G71" s="24" t="s">
        <v>46</v>
      </c>
      <c r="H71" s="23">
        <v>4</v>
      </c>
      <c r="I71" s="23" t="s">
        <v>156</v>
      </c>
      <c r="J71" s="23" t="s">
        <v>48</v>
      </c>
      <c r="K71" s="23" t="s">
        <v>262</v>
      </c>
      <c r="L71" s="23" t="s">
        <v>57</v>
      </c>
      <c r="M71" s="23">
        <v>0</v>
      </c>
      <c r="N71" s="23"/>
      <c r="O71" s="25"/>
      <c r="P71" s="24" t="s">
        <v>50</v>
      </c>
      <c r="Q71" s="24"/>
    </row>
    <row r="72" ht="41.75">
      <c r="A72" s="23" t="s">
        <v>269</v>
      </c>
      <c r="B72" s="23" t="s">
        <v>19</v>
      </c>
      <c r="C72" s="23" t="s">
        <v>263</v>
      </c>
      <c r="D72" s="23" t="s">
        <v>156</v>
      </c>
      <c r="E72" s="23" t="s">
        <v>270</v>
      </c>
      <c r="F72" s="24" t="s">
        <v>271</v>
      </c>
      <c r="G72" s="24" t="s">
        <v>46</v>
      </c>
      <c r="H72" s="23">
        <v>4</v>
      </c>
      <c r="I72" s="23" t="s">
        <v>156</v>
      </c>
      <c r="J72" s="23" t="s">
        <v>48</v>
      </c>
      <c r="K72" s="23" t="s">
        <v>266</v>
      </c>
      <c r="L72" s="23" t="s">
        <v>57</v>
      </c>
      <c r="M72" s="23">
        <v>0</v>
      </c>
      <c r="N72" s="23"/>
      <c r="O72" s="25"/>
      <c r="P72" s="24" t="s">
        <v>50</v>
      </c>
      <c r="Q72" s="24"/>
    </row>
    <row r="73" ht="41.75">
      <c r="A73" s="23" t="s">
        <v>272</v>
      </c>
      <c r="B73" s="23" t="s">
        <v>19</v>
      </c>
      <c r="C73" s="23" t="s">
        <v>263</v>
      </c>
      <c r="D73" s="23" t="s">
        <v>156</v>
      </c>
      <c r="E73" s="23" t="s">
        <v>273</v>
      </c>
      <c r="F73" s="24" t="s">
        <v>274</v>
      </c>
      <c r="G73" s="24" t="s">
        <v>46</v>
      </c>
      <c r="H73" s="23">
        <v>4</v>
      </c>
      <c r="I73" s="23" t="s">
        <v>156</v>
      </c>
      <c r="J73" s="23" t="s">
        <v>48</v>
      </c>
      <c r="K73" s="23" t="s">
        <v>269</v>
      </c>
      <c r="L73" s="23" t="s">
        <v>57</v>
      </c>
      <c r="M73" s="23">
        <v>0</v>
      </c>
      <c r="N73" s="23"/>
      <c r="O73" s="25"/>
      <c r="P73" s="24" t="s">
        <v>50</v>
      </c>
      <c r="Q73" s="24"/>
    </row>
    <row r="74" ht="41.75">
      <c r="A74" s="23" t="s">
        <v>275</v>
      </c>
      <c r="B74" s="23" t="s">
        <v>19</v>
      </c>
      <c r="C74" s="23" t="s">
        <v>263</v>
      </c>
      <c r="D74" s="23" t="s">
        <v>156</v>
      </c>
      <c r="E74" s="23" t="s">
        <v>276</v>
      </c>
      <c r="F74" s="24" t="s">
        <v>277</v>
      </c>
      <c r="G74" s="24" t="s">
        <v>46</v>
      </c>
      <c r="H74" s="23">
        <v>4</v>
      </c>
      <c r="I74" s="23" t="s">
        <v>156</v>
      </c>
      <c r="J74" s="23" t="s">
        <v>48</v>
      </c>
      <c r="K74" s="23" t="s">
        <v>272</v>
      </c>
      <c r="L74" s="23" t="s">
        <v>57</v>
      </c>
      <c r="M74" s="23">
        <v>0</v>
      </c>
      <c r="N74" s="23"/>
      <c r="O74" s="25"/>
      <c r="P74" s="24" t="s">
        <v>50</v>
      </c>
      <c r="Q74" s="24"/>
    </row>
    <row r="75" ht="41.75">
      <c r="A75" s="23" t="s">
        <v>278</v>
      </c>
      <c r="B75" s="23" t="s">
        <v>19</v>
      </c>
      <c r="C75" s="23" t="s">
        <v>263</v>
      </c>
      <c r="D75" s="23" t="s">
        <v>156</v>
      </c>
      <c r="E75" s="23" t="s">
        <v>279</v>
      </c>
      <c r="F75" s="24" t="s">
        <v>280</v>
      </c>
      <c r="G75" s="24" t="s">
        <v>46</v>
      </c>
      <c r="H75" s="23">
        <v>4</v>
      </c>
      <c r="I75" s="23" t="s">
        <v>156</v>
      </c>
      <c r="J75" s="23" t="s">
        <v>48</v>
      </c>
      <c r="K75" s="23" t="s">
        <v>275</v>
      </c>
      <c r="L75" s="23" t="s">
        <v>57</v>
      </c>
      <c r="M75" s="23">
        <v>0</v>
      </c>
      <c r="N75" s="23"/>
      <c r="O75" s="25"/>
      <c r="P75" s="24" t="s">
        <v>50</v>
      </c>
      <c r="Q75" s="24"/>
    </row>
    <row r="76" ht="41.75">
      <c r="A76" s="23" t="s">
        <v>281</v>
      </c>
      <c r="B76" s="23" t="s">
        <v>19</v>
      </c>
      <c r="C76" s="23" t="s">
        <v>263</v>
      </c>
      <c r="D76" s="23" t="s">
        <v>156</v>
      </c>
      <c r="E76" s="23" t="s">
        <v>282</v>
      </c>
      <c r="F76" s="24" t="s">
        <v>283</v>
      </c>
      <c r="G76" s="24" t="s">
        <v>46</v>
      </c>
      <c r="H76" s="23">
        <v>4</v>
      </c>
      <c r="I76" s="23" t="s">
        <v>156</v>
      </c>
      <c r="J76" s="23" t="s">
        <v>48</v>
      </c>
      <c r="K76" s="23" t="s">
        <v>278</v>
      </c>
      <c r="L76" s="23" t="s">
        <v>57</v>
      </c>
      <c r="M76" s="23">
        <v>0</v>
      </c>
      <c r="N76" s="23"/>
      <c r="O76" s="25"/>
      <c r="P76" s="24" t="s">
        <v>50</v>
      </c>
      <c r="Q76" s="24"/>
    </row>
    <row r="77" ht="41.75">
      <c r="A77" s="23" t="s">
        <v>284</v>
      </c>
      <c r="B77" s="23" t="s">
        <v>19</v>
      </c>
      <c r="C77" s="23" t="s">
        <v>263</v>
      </c>
      <c r="D77" s="23" t="s">
        <v>156</v>
      </c>
      <c r="E77" s="23" t="s">
        <v>285</v>
      </c>
      <c r="F77" s="24" t="s">
        <v>286</v>
      </c>
      <c r="G77" s="24" t="s">
        <v>46</v>
      </c>
      <c r="H77" s="23">
        <v>4</v>
      </c>
      <c r="I77" s="23" t="s">
        <v>156</v>
      </c>
      <c r="J77" s="23" t="s">
        <v>48</v>
      </c>
      <c r="K77" s="23" t="s">
        <v>281</v>
      </c>
      <c r="L77" s="23" t="s">
        <v>57</v>
      </c>
      <c r="M77" s="23">
        <v>0</v>
      </c>
      <c r="N77" s="23"/>
      <c r="O77" s="25"/>
      <c r="P77" s="24" t="s">
        <v>50</v>
      </c>
      <c r="Q77" s="24"/>
    </row>
    <row r="78" ht="41.75">
      <c r="A78" s="23" t="s">
        <v>287</v>
      </c>
      <c r="B78" s="23" t="s">
        <v>19</v>
      </c>
      <c r="C78" s="23" t="s">
        <v>263</v>
      </c>
      <c r="D78" s="23" t="s">
        <v>156</v>
      </c>
      <c r="E78" s="23" t="s">
        <v>288</v>
      </c>
      <c r="F78" s="24" t="s">
        <v>289</v>
      </c>
      <c r="G78" s="24" t="s">
        <v>46</v>
      </c>
      <c r="H78" s="23">
        <v>4</v>
      </c>
      <c r="I78" s="23" t="s">
        <v>156</v>
      </c>
      <c r="J78" s="23" t="s">
        <v>48</v>
      </c>
      <c r="K78" s="23" t="s">
        <v>284</v>
      </c>
      <c r="L78" s="23" t="s">
        <v>57</v>
      </c>
      <c r="M78" s="23">
        <v>0</v>
      </c>
      <c r="N78" s="23"/>
      <c r="O78" s="25"/>
      <c r="P78" s="24" t="s">
        <v>50</v>
      </c>
      <c r="Q78" s="24"/>
    </row>
    <row r="79" ht="41.75">
      <c r="A79" s="23" t="s">
        <v>290</v>
      </c>
      <c r="B79" s="23" t="s">
        <v>20</v>
      </c>
      <c r="C79" s="23" t="s">
        <v>291</v>
      </c>
      <c r="D79" s="23" t="s">
        <v>200</v>
      </c>
      <c r="E79" s="23" t="s">
        <v>292</v>
      </c>
      <c r="F79" s="24" t="s">
        <v>293</v>
      </c>
      <c r="G79" s="24" t="s">
        <v>46</v>
      </c>
      <c r="H79" s="23">
        <v>4</v>
      </c>
      <c r="I79" s="23" t="s">
        <v>83</v>
      </c>
      <c r="J79" s="23" t="s">
        <v>203</v>
      </c>
      <c r="K79" s="23"/>
      <c r="L79" s="23" t="s">
        <v>57</v>
      </c>
      <c r="M79" s="23">
        <v>0</v>
      </c>
      <c r="N79" s="23"/>
      <c r="O79" s="25"/>
      <c r="P79" s="24" t="s">
        <v>50</v>
      </c>
      <c r="Q79" s="24"/>
    </row>
    <row r="80" ht="41.75">
      <c r="A80" s="23" t="s">
        <v>294</v>
      </c>
      <c r="B80" s="23" t="s">
        <v>20</v>
      </c>
      <c r="C80" s="23" t="s">
        <v>291</v>
      </c>
      <c r="D80" s="23" t="s">
        <v>200</v>
      </c>
      <c r="E80" s="23" t="s">
        <v>295</v>
      </c>
      <c r="F80" s="24" t="s">
        <v>296</v>
      </c>
      <c r="G80" s="24" t="s">
        <v>46</v>
      </c>
      <c r="H80" s="23">
        <v>4</v>
      </c>
      <c r="I80" s="23" t="s">
        <v>83</v>
      </c>
      <c r="J80" s="23" t="s">
        <v>203</v>
      </c>
      <c r="K80" s="23" t="s">
        <v>290</v>
      </c>
      <c r="L80" s="23" t="s">
        <v>57</v>
      </c>
      <c r="M80" s="23">
        <v>0</v>
      </c>
      <c r="N80" s="23"/>
      <c r="O80" s="25"/>
      <c r="P80" s="24" t="s">
        <v>50</v>
      </c>
      <c r="Q80" s="24"/>
    </row>
    <row r="81" ht="41.75">
      <c r="A81" s="23" t="s">
        <v>297</v>
      </c>
      <c r="B81" s="23" t="s">
        <v>20</v>
      </c>
      <c r="C81" s="23" t="s">
        <v>291</v>
      </c>
      <c r="D81" s="23" t="s">
        <v>200</v>
      </c>
      <c r="E81" s="23" t="s">
        <v>298</v>
      </c>
      <c r="F81" s="24" t="s">
        <v>299</v>
      </c>
      <c r="G81" s="24" t="s">
        <v>46</v>
      </c>
      <c r="H81" s="23">
        <v>4</v>
      </c>
      <c r="I81" s="23" t="s">
        <v>83</v>
      </c>
      <c r="J81" s="23" t="s">
        <v>203</v>
      </c>
      <c r="K81" s="23" t="s">
        <v>294</v>
      </c>
      <c r="L81" s="23" t="s">
        <v>57</v>
      </c>
      <c r="M81" s="23">
        <v>0</v>
      </c>
      <c r="N81" s="23"/>
      <c r="O81" s="25"/>
      <c r="P81" s="24" t="s">
        <v>50</v>
      </c>
      <c r="Q81" s="24"/>
    </row>
    <row r="82" ht="41.75">
      <c r="A82" s="23" t="s">
        <v>300</v>
      </c>
      <c r="B82" s="23" t="s">
        <v>20</v>
      </c>
      <c r="C82" s="23" t="s">
        <v>291</v>
      </c>
      <c r="D82" s="23" t="s">
        <v>200</v>
      </c>
      <c r="E82" s="23" t="s">
        <v>301</v>
      </c>
      <c r="F82" s="24" t="s">
        <v>302</v>
      </c>
      <c r="G82" s="24" t="s">
        <v>46</v>
      </c>
      <c r="H82" s="23">
        <v>4</v>
      </c>
      <c r="I82" s="23" t="s">
        <v>83</v>
      </c>
      <c r="J82" s="23" t="s">
        <v>203</v>
      </c>
      <c r="K82" s="23" t="s">
        <v>297</v>
      </c>
      <c r="L82" s="23" t="s">
        <v>57</v>
      </c>
      <c r="M82" s="23">
        <v>0</v>
      </c>
      <c r="N82" s="23"/>
      <c r="O82" s="25"/>
      <c r="P82" s="24" t="s">
        <v>50</v>
      </c>
      <c r="Q82" s="24"/>
    </row>
    <row r="83" ht="41.75">
      <c r="A83" s="23" t="s">
        <v>303</v>
      </c>
      <c r="B83" s="23" t="s">
        <v>20</v>
      </c>
      <c r="C83" s="23" t="s">
        <v>291</v>
      </c>
      <c r="D83" s="23" t="s">
        <v>200</v>
      </c>
      <c r="E83" s="23" t="s">
        <v>304</v>
      </c>
      <c r="F83" s="24" t="s">
        <v>305</v>
      </c>
      <c r="G83" s="24" t="s">
        <v>46</v>
      </c>
      <c r="H83" s="23">
        <v>4</v>
      </c>
      <c r="I83" s="23" t="s">
        <v>83</v>
      </c>
      <c r="J83" s="23" t="s">
        <v>203</v>
      </c>
      <c r="K83" s="23" t="s">
        <v>300</v>
      </c>
      <c r="L83" s="23" t="s">
        <v>57</v>
      </c>
      <c r="M83" s="23">
        <v>0</v>
      </c>
      <c r="N83" s="23"/>
      <c r="O83" s="25"/>
      <c r="P83" s="24" t="s">
        <v>50</v>
      </c>
      <c r="Q83" s="24"/>
    </row>
    <row r="84" ht="41.75">
      <c r="A84" s="23" t="s">
        <v>306</v>
      </c>
      <c r="B84" s="23" t="s">
        <v>20</v>
      </c>
      <c r="C84" s="23" t="s">
        <v>291</v>
      </c>
      <c r="D84" s="23" t="s">
        <v>200</v>
      </c>
      <c r="E84" s="23" t="s">
        <v>307</v>
      </c>
      <c r="F84" s="24" t="s">
        <v>308</v>
      </c>
      <c r="G84" s="24" t="s">
        <v>46</v>
      </c>
      <c r="H84" s="23">
        <v>4</v>
      </c>
      <c r="I84" s="23" t="s">
        <v>83</v>
      </c>
      <c r="J84" s="23" t="s">
        <v>203</v>
      </c>
      <c r="K84" s="23" t="s">
        <v>303</v>
      </c>
      <c r="L84" s="23" t="s">
        <v>57</v>
      </c>
      <c r="M84" s="23">
        <v>0</v>
      </c>
      <c r="N84" s="23"/>
      <c r="O84" s="25"/>
      <c r="P84" s="24" t="s">
        <v>50</v>
      </c>
      <c r="Q84" s="24"/>
    </row>
    <row r="85" ht="41.75">
      <c r="A85" s="23" t="s">
        <v>309</v>
      </c>
      <c r="B85" s="23" t="s">
        <v>20</v>
      </c>
      <c r="C85" s="23" t="s">
        <v>291</v>
      </c>
      <c r="D85" s="23" t="s">
        <v>200</v>
      </c>
      <c r="E85" s="23" t="s">
        <v>310</v>
      </c>
      <c r="F85" s="24" t="s">
        <v>311</v>
      </c>
      <c r="G85" s="24" t="s">
        <v>46</v>
      </c>
      <c r="H85" s="23">
        <v>4</v>
      </c>
      <c r="I85" s="23" t="s">
        <v>83</v>
      </c>
      <c r="J85" s="23" t="s">
        <v>203</v>
      </c>
      <c r="K85" s="23" t="s">
        <v>306</v>
      </c>
      <c r="L85" s="23" t="s">
        <v>57</v>
      </c>
      <c r="M85" s="23">
        <v>0</v>
      </c>
      <c r="N85" s="23"/>
      <c r="O85" s="25"/>
      <c r="P85" s="24" t="s">
        <v>50</v>
      </c>
      <c r="Q85" s="24"/>
    </row>
    <row r="86" ht="41.75">
      <c r="A86" s="23" t="s">
        <v>312</v>
      </c>
      <c r="B86" s="23" t="s">
        <v>20</v>
      </c>
      <c r="C86" s="23" t="s">
        <v>291</v>
      </c>
      <c r="D86" s="23" t="s">
        <v>200</v>
      </c>
      <c r="E86" s="23" t="s">
        <v>313</v>
      </c>
      <c r="F86" s="24" t="s">
        <v>314</v>
      </c>
      <c r="G86" s="24" t="s">
        <v>46</v>
      </c>
      <c r="H86" s="23">
        <v>4</v>
      </c>
      <c r="I86" s="23" t="s">
        <v>83</v>
      </c>
      <c r="J86" s="23" t="s">
        <v>203</v>
      </c>
      <c r="K86" s="23" t="s">
        <v>309</v>
      </c>
      <c r="L86" s="23" t="s">
        <v>57</v>
      </c>
      <c r="M86" s="23">
        <v>0</v>
      </c>
      <c r="N86" s="23"/>
      <c r="O86" s="25"/>
      <c r="P86" s="24" t="s">
        <v>50</v>
      </c>
      <c r="Q86" s="24"/>
    </row>
    <row r="87" ht="41.75">
      <c r="A87" s="23" t="s">
        <v>315</v>
      </c>
      <c r="B87" s="23" t="s">
        <v>20</v>
      </c>
      <c r="C87" s="23" t="s">
        <v>291</v>
      </c>
      <c r="D87" s="23" t="s">
        <v>200</v>
      </c>
      <c r="E87" s="23" t="s">
        <v>316</v>
      </c>
      <c r="F87" s="24" t="s">
        <v>317</v>
      </c>
      <c r="G87" s="24" t="s">
        <v>46</v>
      </c>
      <c r="H87" s="23">
        <v>4</v>
      </c>
      <c r="I87" s="23" t="s">
        <v>83</v>
      </c>
      <c r="J87" s="23" t="s">
        <v>203</v>
      </c>
      <c r="K87" s="23" t="s">
        <v>312</v>
      </c>
      <c r="L87" s="23" t="s">
        <v>57</v>
      </c>
      <c r="M87" s="23">
        <v>0</v>
      </c>
      <c r="N87" s="23"/>
      <c r="O87" s="25"/>
      <c r="P87" s="24" t="s">
        <v>50</v>
      </c>
      <c r="Q87" s="24"/>
    </row>
    <row r="88" ht="41.75">
      <c r="A88" s="23" t="s">
        <v>318</v>
      </c>
      <c r="B88" s="23" t="s">
        <v>20</v>
      </c>
      <c r="C88" s="23" t="s">
        <v>291</v>
      </c>
      <c r="D88" s="23" t="s">
        <v>200</v>
      </c>
      <c r="E88" s="23" t="s">
        <v>319</v>
      </c>
      <c r="F88" s="24" t="s">
        <v>320</v>
      </c>
      <c r="G88" s="24" t="s">
        <v>46</v>
      </c>
      <c r="H88" s="23">
        <v>4</v>
      </c>
      <c r="I88" s="23" t="s">
        <v>83</v>
      </c>
      <c r="J88" s="23" t="s">
        <v>203</v>
      </c>
      <c r="K88" s="23" t="s">
        <v>315</v>
      </c>
      <c r="L88" s="23" t="s">
        <v>57</v>
      </c>
      <c r="M88" s="23">
        <v>0</v>
      </c>
      <c r="N88" s="23"/>
      <c r="O88" s="25"/>
      <c r="P88" s="24" t="s">
        <v>50</v>
      </c>
      <c r="Q88" s="24"/>
    </row>
    <row r="89" ht="41.75">
      <c r="A89" s="23" t="s">
        <v>321</v>
      </c>
      <c r="B89" s="23" t="s">
        <v>21</v>
      </c>
      <c r="C89" s="23" t="s">
        <v>322</v>
      </c>
      <c r="D89" s="23" t="s">
        <v>156</v>
      </c>
      <c r="E89" s="23" t="s">
        <v>323</v>
      </c>
      <c r="F89" s="24" t="s">
        <v>324</v>
      </c>
      <c r="G89" s="24" t="s">
        <v>46</v>
      </c>
      <c r="H89" s="23">
        <v>4</v>
      </c>
      <c r="I89" s="23" t="s">
        <v>156</v>
      </c>
      <c r="J89" s="23" t="s">
        <v>48</v>
      </c>
      <c r="K89" s="23"/>
      <c r="L89" s="23" t="s">
        <v>57</v>
      </c>
      <c r="M89" s="23">
        <v>0</v>
      </c>
      <c r="N89" s="23"/>
      <c r="O89" s="25"/>
      <c r="P89" s="24" t="s">
        <v>50</v>
      </c>
      <c r="Q89" s="24"/>
    </row>
    <row r="90" ht="41.75">
      <c r="A90" s="23" t="s">
        <v>325</v>
      </c>
      <c r="B90" s="23" t="s">
        <v>21</v>
      </c>
      <c r="C90" s="23" t="s">
        <v>322</v>
      </c>
      <c r="D90" s="23" t="s">
        <v>156</v>
      </c>
      <c r="E90" s="23" t="s">
        <v>326</v>
      </c>
      <c r="F90" s="24" t="s">
        <v>327</v>
      </c>
      <c r="G90" s="24" t="s">
        <v>46</v>
      </c>
      <c r="H90" s="23">
        <v>4</v>
      </c>
      <c r="I90" s="23" t="s">
        <v>156</v>
      </c>
      <c r="J90" s="23" t="s">
        <v>48</v>
      </c>
      <c r="K90" s="23" t="s">
        <v>321</v>
      </c>
      <c r="L90" s="23" t="s">
        <v>57</v>
      </c>
      <c r="M90" s="23">
        <v>0</v>
      </c>
      <c r="N90" s="23"/>
      <c r="O90" s="25"/>
      <c r="P90" s="24" t="s">
        <v>50</v>
      </c>
      <c r="Q90" s="24"/>
    </row>
    <row r="91" ht="41.75">
      <c r="A91" s="23" t="s">
        <v>328</v>
      </c>
      <c r="B91" s="23" t="s">
        <v>21</v>
      </c>
      <c r="C91" s="23" t="s">
        <v>322</v>
      </c>
      <c r="D91" s="23" t="s">
        <v>156</v>
      </c>
      <c r="E91" s="23" t="s">
        <v>329</v>
      </c>
      <c r="F91" s="24" t="s">
        <v>330</v>
      </c>
      <c r="G91" s="24" t="s">
        <v>46</v>
      </c>
      <c r="H91" s="23">
        <v>4</v>
      </c>
      <c r="I91" s="23" t="s">
        <v>156</v>
      </c>
      <c r="J91" s="23" t="s">
        <v>48</v>
      </c>
      <c r="K91" s="23" t="s">
        <v>325</v>
      </c>
      <c r="L91" s="23" t="s">
        <v>57</v>
      </c>
      <c r="M91" s="23">
        <v>0</v>
      </c>
      <c r="N91" s="23"/>
      <c r="O91" s="25"/>
      <c r="P91" s="24" t="s">
        <v>50</v>
      </c>
      <c r="Q91" s="24"/>
    </row>
    <row r="92" ht="41.75">
      <c r="A92" s="23" t="s">
        <v>331</v>
      </c>
      <c r="B92" s="23" t="s">
        <v>21</v>
      </c>
      <c r="C92" s="23" t="s">
        <v>322</v>
      </c>
      <c r="D92" s="23" t="s">
        <v>156</v>
      </c>
      <c r="E92" s="23" t="s">
        <v>332</v>
      </c>
      <c r="F92" s="24" t="s">
        <v>333</v>
      </c>
      <c r="G92" s="24" t="s">
        <v>46</v>
      </c>
      <c r="H92" s="23">
        <v>4</v>
      </c>
      <c r="I92" s="23" t="s">
        <v>156</v>
      </c>
      <c r="J92" s="23" t="s">
        <v>48</v>
      </c>
      <c r="K92" s="23" t="s">
        <v>328</v>
      </c>
      <c r="L92" s="23" t="s">
        <v>57</v>
      </c>
      <c r="M92" s="23">
        <v>0</v>
      </c>
      <c r="N92" s="23"/>
      <c r="O92" s="25"/>
      <c r="P92" s="24" t="s">
        <v>50</v>
      </c>
      <c r="Q92" s="24"/>
    </row>
    <row r="93" ht="41.75">
      <c r="A93" s="23" t="s">
        <v>334</v>
      </c>
      <c r="B93" s="23" t="s">
        <v>21</v>
      </c>
      <c r="C93" s="23" t="s">
        <v>322</v>
      </c>
      <c r="D93" s="23" t="s">
        <v>156</v>
      </c>
      <c r="E93" s="23" t="s">
        <v>335</v>
      </c>
      <c r="F93" s="24" t="s">
        <v>336</v>
      </c>
      <c r="G93" s="24" t="s">
        <v>46</v>
      </c>
      <c r="H93" s="23">
        <v>4</v>
      </c>
      <c r="I93" s="23" t="s">
        <v>156</v>
      </c>
      <c r="J93" s="23" t="s">
        <v>48</v>
      </c>
      <c r="K93" s="23" t="s">
        <v>331</v>
      </c>
      <c r="L93" s="23" t="s">
        <v>57</v>
      </c>
      <c r="M93" s="23">
        <v>0</v>
      </c>
      <c r="N93" s="23"/>
      <c r="O93" s="25"/>
      <c r="P93" s="24" t="s">
        <v>50</v>
      </c>
      <c r="Q93" s="24"/>
    </row>
    <row r="94" ht="41.75">
      <c r="A94" s="23" t="s">
        <v>337</v>
      </c>
      <c r="B94" s="23" t="s">
        <v>21</v>
      </c>
      <c r="C94" s="23" t="s">
        <v>322</v>
      </c>
      <c r="D94" s="23" t="s">
        <v>156</v>
      </c>
      <c r="E94" s="23" t="s">
        <v>338</v>
      </c>
      <c r="F94" s="24" t="s">
        <v>339</v>
      </c>
      <c r="G94" s="24" t="s">
        <v>46</v>
      </c>
      <c r="H94" s="23">
        <v>4</v>
      </c>
      <c r="I94" s="23" t="s">
        <v>156</v>
      </c>
      <c r="J94" s="23" t="s">
        <v>48</v>
      </c>
      <c r="K94" s="23" t="s">
        <v>334</v>
      </c>
      <c r="L94" s="23" t="s">
        <v>57</v>
      </c>
      <c r="M94" s="23">
        <v>0</v>
      </c>
      <c r="N94" s="23"/>
      <c r="O94" s="25"/>
      <c r="P94" s="24" t="s">
        <v>50</v>
      </c>
      <c r="Q94" s="24"/>
    </row>
    <row r="95" ht="41.75">
      <c r="A95" s="23" t="s">
        <v>340</v>
      </c>
      <c r="B95" s="23" t="s">
        <v>21</v>
      </c>
      <c r="C95" s="23" t="s">
        <v>322</v>
      </c>
      <c r="D95" s="23" t="s">
        <v>156</v>
      </c>
      <c r="E95" s="23" t="s">
        <v>341</v>
      </c>
      <c r="F95" s="24" t="s">
        <v>342</v>
      </c>
      <c r="G95" s="24" t="s">
        <v>46</v>
      </c>
      <c r="H95" s="23">
        <v>4</v>
      </c>
      <c r="I95" s="23" t="s">
        <v>156</v>
      </c>
      <c r="J95" s="23" t="s">
        <v>48</v>
      </c>
      <c r="K95" s="23" t="s">
        <v>337</v>
      </c>
      <c r="L95" s="23" t="s">
        <v>57</v>
      </c>
      <c r="M95" s="23">
        <v>0</v>
      </c>
      <c r="N95" s="23"/>
      <c r="O95" s="25"/>
      <c r="P95" s="24" t="s">
        <v>50</v>
      </c>
      <c r="Q95" s="24"/>
    </row>
    <row r="96" ht="41.75">
      <c r="A96" s="23" t="s">
        <v>343</v>
      </c>
      <c r="B96" s="23" t="s">
        <v>21</v>
      </c>
      <c r="C96" s="23" t="s">
        <v>322</v>
      </c>
      <c r="D96" s="23" t="s">
        <v>156</v>
      </c>
      <c r="E96" s="23" t="s">
        <v>344</v>
      </c>
      <c r="F96" s="24" t="s">
        <v>345</v>
      </c>
      <c r="G96" s="24" t="s">
        <v>46</v>
      </c>
      <c r="H96" s="23">
        <v>4</v>
      </c>
      <c r="I96" s="23" t="s">
        <v>156</v>
      </c>
      <c r="J96" s="23" t="s">
        <v>48</v>
      </c>
      <c r="K96" s="23" t="s">
        <v>340</v>
      </c>
      <c r="L96" s="23" t="s">
        <v>57</v>
      </c>
      <c r="M96" s="23">
        <v>0</v>
      </c>
      <c r="N96" s="23"/>
      <c r="O96" s="25"/>
      <c r="P96" s="24" t="s">
        <v>50</v>
      </c>
      <c r="Q96" s="24"/>
    </row>
    <row r="97" ht="41.75">
      <c r="A97" s="23" t="s">
        <v>346</v>
      </c>
      <c r="B97" s="23" t="s">
        <v>21</v>
      </c>
      <c r="C97" s="23" t="s">
        <v>322</v>
      </c>
      <c r="D97" s="23" t="s">
        <v>156</v>
      </c>
      <c r="E97" s="23" t="s">
        <v>347</v>
      </c>
      <c r="F97" s="24" t="s">
        <v>348</v>
      </c>
      <c r="G97" s="24" t="s">
        <v>46</v>
      </c>
      <c r="H97" s="23">
        <v>4</v>
      </c>
      <c r="I97" s="23" t="s">
        <v>156</v>
      </c>
      <c r="J97" s="23" t="s">
        <v>48</v>
      </c>
      <c r="K97" s="23" t="s">
        <v>343</v>
      </c>
      <c r="L97" s="23" t="s">
        <v>57</v>
      </c>
      <c r="M97" s="23">
        <v>0</v>
      </c>
      <c r="N97" s="23"/>
      <c r="O97" s="25"/>
      <c r="P97" s="24" t="s">
        <v>50</v>
      </c>
      <c r="Q97" s="24"/>
    </row>
    <row r="98" ht="41.75">
      <c r="A98" s="23" t="s">
        <v>349</v>
      </c>
      <c r="B98" s="23" t="s">
        <v>22</v>
      </c>
      <c r="C98" s="23" t="s">
        <v>350</v>
      </c>
      <c r="D98" s="23" t="s">
        <v>156</v>
      </c>
      <c r="E98" s="23" t="s">
        <v>351</v>
      </c>
      <c r="F98" s="24" t="s">
        <v>352</v>
      </c>
      <c r="G98" s="24" t="s">
        <v>46</v>
      </c>
      <c r="H98" s="23">
        <v>4</v>
      </c>
      <c r="I98" s="23" t="s">
        <v>156</v>
      </c>
      <c r="J98" s="23" t="s">
        <v>48</v>
      </c>
      <c r="K98" s="23"/>
      <c r="L98" s="23" t="s">
        <v>57</v>
      </c>
      <c r="M98" s="23">
        <v>0</v>
      </c>
      <c r="N98" s="23"/>
      <c r="O98" s="25"/>
      <c r="P98" s="24" t="s">
        <v>50</v>
      </c>
      <c r="Q98" s="24"/>
    </row>
    <row r="99" ht="41.75">
      <c r="A99" s="23" t="s">
        <v>353</v>
      </c>
      <c r="B99" s="23" t="s">
        <v>22</v>
      </c>
      <c r="C99" s="23" t="s">
        <v>350</v>
      </c>
      <c r="D99" s="23" t="s">
        <v>156</v>
      </c>
      <c r="E99" s="23" t="s">
        <v>354</v>
      </c>
      <c r="F99" s="24" t="s">
        <v>355</v>
      </c>
      <c r="G99" s="24" t="s">
        <v>46</v>
      </c>
      <c r="H99" s="23">
        <v>4</v>
      </c>
      <c r="I99" s="23" t="s">
        <v>156</v>
      </c>
      <c r="J99" s="23" t="s">
        <v>48</v>
      </c>
      <c r="K99" s="23" t="s">
        <v>349</v>
      </c>
      <c r="L99" s="23" t="s">
        <v>57</v>
      </c>
      <c r="M99" s="23">
        <v>0</v>
      </c>
      <c r="N99" s="23"/>
      <c r="O99" s="25"/>
      <c r="P99" s="24" t="s">
        <v>50</v>
      </c>
      <c r="Q99" s="24"/>
    </row>
    <row r="100" ht="41.75">
      <c r="A100" s="23" t="s">
        <v>356</v>
      </c>
      <c r="B100" s="23" t="s">
        <v>22</v>
      </c>
      <c r="C100" s="23" t="s">
        <v>350</v>
      </c>
      <c r="D100" s="23" t="s">
        <v>156</v>
      </c>
      <c r="E100" s="23" t="s">
        <v>357</v>
      </c>
      <c r="F100" s="24" t="s">
        <v>358</v>
      </c>
      <c r="G100" s="24" t="s">
        <v>46</v>
      </c>
      <c r="H100" s="23">
        <v>4</v>
      </c>
      <c r="I100" s="23" t="s">
        <v>156</v>
      </c>
      <c r="J100" s="23" t="s">
        <v>48</v>
      </c>
      <c r="K100" s="23" t="s">
        <v>353</v>
      </c>
      <c r="L100" s="23" t="s">
        <v>57</v>
      </c>
      <c r="M100" s="23">
        <v>0</v>
      </c>
      <c r="N100" s="23"/>
      <c r="O100" s="25"/>
      <c r="P100" s="24" t="s">
        <v>50</v>
      </c>
      <c r="Q100" s="24"/>
    </row>
    <row r="101" ht="41.75">
      <c r="A101" s="23" t="s">
        <v>359</v>
      </c>
      <c r="B101" s="23" t="s">
        <v>22</v>
      </c>
      <c r="C101" s="23" t="s">
        <v>350</v>
      </c>
      <c r="D101" s="23" t="s">
        <v>156</v>
      </c>
      <c r="E101" s="23" t="s">
        <v>360</v>
      </c>
      <c r="F101" s="24" t="s">
        <v>361</v>
      </c>
      <c r="G101" s="24" t="s">
        <v>46</v>
      </c>
      <c r="H101" s="23">
        <v>4</v>
      </c>
      <c r="I101" s="23" t="s">
        <v>156</v>
      </c>
      <c r="J101" s="23" t="s">
        <v>48</v>
      </c>
      <c r="K101" s="23" t="s">
        <v>356</v>
      </c>
      <c r="L101" s="23" t="s">
        <v>57</v>
      </c>
      <c r="M101" s="23">
        <v>0</v>
      </c>
      <c r="N101" s="23"/>
      <c r="O101" s="25"/>
      <c r="P101" s="24" t="s">
        <v>50</v>
      </c>
      <c r="Q101" s="24"/>
    </row>
    <row r="102" ht="41.75">
      <c r="A102" s="23" t="s">
        <v>362</v>
      </c>
      <c r="B102" s="23" t="s">
        <v>22</v>
      </c>
      <c r="C102" s="23" t="s">
        <v>350</v>
      </c>
      <c r="D102" s="23" t="s">
        <v>156</v>
      </c>
      <c r="E102" s="23" t="s">
        <v>363</v>
      </c>
      <c r="F102" s="24" t="s">
        <v>364</v>
      </c>
      <c r="G102" s="24" t="s">
        <v>46</v>
      </c>
      <c r="H102" s="23">
        <v>4</v>
      </c>
      <c r="I102" s="23" t="s">
        <v>156</v>
      </c>
      <c r="J102" s="23" t="s">
        <v>48</v>
      </c>
      <c r="K102" s="23" t="s">
        <v>359</v>
      </c>
      <c r="L102" s="23" t="s">
        <v>57</v>
      </c>
      <c r="M102" s="23">
        <v>0</v>
      </c>
      <c r="N102" s="23"/>
      <c r="O102" s="25"/>
      <c r="P102" s="24" t="s">
        <v>50</v>
      </c>
      <c r="Q102" s="24"/>
    </row>
    <row r="103" ht="41.75">
      <c r="A103" s="23" t="s">
        <v>365</v>
      </c>
      <c r="B103" s="23" t="s">
        <v>22</v>
      </c>
      <c r="C103" s="23" t="s">
        <v>350</v>
      </c>
      <c r="D103" s="23" t="s">
        <v>156</v>
      </c>
      <c r="E103" s="23" t="s">
        <v>366</v>
      </c>
      <c r="F103" s="24" t="s">
        <v>367</v>
      </c>
      <c r="G103" s="24" t="s">
        <v>46</v>
      </c>
      <c r="H103" s="23">
        <v>4</v>
      </c>
      <c r="I103" s="23" t="s">
        <v>156</v>
      </c>
      <c r="J103" s="23" t="s">
        <v>48</v>
      </c>
      <c r="K103" s="23" t="s">
        <v>362</v>
      </c>
      <c r="L103" s="23" t="s">
        <v>57</v>
      </c>
      <c r="M103" s="23">
        <v>0</v>
      </c>
      <c r="N103" s="23"/>
      <c r="O103" s="25"/>
      <c r="P103" s="24" t="s">
        <v>50</v>
      </c>
      <c r="Q103" s="24"/>
    </row>
    <row r="104" ht="41.75">
      <c r="A104" s="23" t="s">
        <v>368</v>
      </c>
      <c r="B104" s="23" t="s">
        <v>22</v>
      </c>
      <c r="C104" s="23" t="s">
        <v>350</v>
      </c>
      <c r="D104" s="23" t="s">
        <v>156</v>
      </c>
      <c r="E104" s="23" t="s">
        <v>369</v>
      </c>
      <c r="F104" s="24" t="s">
        <v>370</v>
      </c>
      <c r="G104" s="24" t="s">
        <v>46</v>
      </c>
      <c r="H104" s="23">
        <v>4</v>
      </c>
      <c r="I104" s="23" t="s">
        <v>156</v>
      </c>
      <c r="J104" s="23" t="s">
        <v>48</v>
      </c>
      <c r="K104" s="23" t="s">
        <v>365</v>
      </c>
      <c r="L104" s="23" t="s">
        <v>57</v>
      </c>
      <c r="M104" s="23">
        <v>0</v>
      </c>
      <c r="N104" s="23"/>
      <c r="O104" s="25"/>
      <c r="P104" s="24" t="s">
        <v>50</v>
      </c>
      <c r="Q104" s="24"/>
    </row>
    <row r="105" ht="41.75">
      <c r="A105" s="23" t="s">
        <v>371</v>
      </c>
      <c r="B105" s="23" t="s">
        <v>23</v>
      </c>
      <c r="C105" s="23" t="s">
        <v>372</v>
      </c>
      <c r="D105" s="23" t="s">
        <v>373</v>
      </c>
      <c r="E105" s="23" t="s">
        <v>374</v>
      </c>
      <c r="F105" s="24" t="s">
        <v>375</v>
      </c>
      <c r="G105" s="24" t="s">
        <v>46</v>
      </c>
      <c r="H105" s="23">
        <v>4</v>
      </c>
      <c r="I105" s="23" t="s">
        <v>83</v>
      </c>
      <c r="J105" s="23" t="s">
        <v>203</v>
      </c>
      <c r="K105" s="23"/>
      <c r="L105" s="23" t="s">
        <v>57</v>
      </c>
      <c r="M105" s="23">
        <v>0</v>
      </c>
      <c r="N105" s="23"/>
      <c r="O105" s="25"/>
      <c r="P105" s="24" t="s">
        <v>50</v>
      </c>
      <c r="Q105" s="24"/>
    </row>
    <row r="106" ht="41.75">
      <c r="A106" s="23" t="s">
        <v>376</v>
      </c>
      <c r="B106" s="23" t="s">
        <v>23</v>
      </c>
      <c r="C106" s="23" t="s">
        <v>372</v>
      </c>
      <c r="D106" s="23" t="s">
        <v>373</v>
      </c>
      <c r="E106" s="23" t="s">
        <v>377</v>
      </c>
      <c r="F106" s="24" t="s">
        <v>378</v>
      </c>
      <c r="G106" s="24" t="s">
        <v>46</v>
      </c>
      <c r="H106" s="23">
        <v>4</v>
      </c>
      <c r="I106" s="23" t="s">
        <v>83</v>
      </c>
      <c r="J106" s="23" t="s">
        <v>203</v>
      </c>
      <c r="K106" s="23" t="s">
        <v>371</v>
      </c>
      <c r="L106" s="23" t="s">
        <v>57</v>
      </c>
      <c r="M106" s="23">
        <v>0</v>
      </c>
      <c r="N106" s="23"/>
      <c r="O106" s="25"/>
      <c r="P106" s="24" t="s">
        <v>50</v>
      </c>
      <c r="Q106" s="24"/>
    </row>
    <row r="107" ht="41.75">
      <c r="A107" s="23" t="s">
        <v>379</v>
      </c>
      <c r="B107" s="23" t="s">
        <v>23</v>
      </c>
      <c r="C107" s="23" t="s">
        <v>372</v>
      </c>
      <c r="D107" s="23" t="s">
        <v>373</v>
      </c>
      <c r="E107" s="23" t="s">
        <v>380</v>
      </c>
      <c r="F107" s="24" t="s">
        <v>381</v>
      </c>
      <c r="G107" s="24" t="s">
        <v>46</v>
      </c>
      <c r="H107" s="23">
        <v>4</v>
      </c>
      <c r="I107" s="23" t="s">
        <v>83</v>
      </c>
      <c r="J107" s="23" t="s">
        <v>203</v>
      </c>
      <c r="K107" s="23" t="s">
        <v>376</v>
      </c>
      <c r="L107" s="23" t="s">
        <v>57</v>
      </c>
      <c r="M107" s="23">
        <v>0</v>
      </c>
      <c r="N107" s="23"/>
      <c r="O107" s="25"/>
      <c r="P107" s="24" t="s">
        <v>50</v>
      </c>
      <c r="Q107" s="24"/>
    </row>
    <row r="108" ht="41.75">
      <c r="A108" s="23" t="s">
        <v>382</v>
      </c>
      <c r="B108" s="23" t="s">
        <v>23</v>
      </c>
      <c r="C108" s="23" t="s">
        <v>372</v>
      </c>
      <c r="D108" s="23" t="s">
        <v>373</v>
      </c>
      <c r="E108" s="23" t="s">
        <v>383</v>
      </c>
      <c r="F108" s="24" t="s">
        <v>384</v>
      </c>
      <c r="G108" s="24" t="s">
        <v>46</v>
      </c>
      <c r="H108" s="23">
        <v>4</v>
      </c>
      <c r="I108" s="23" t="s">
        <v>83</v>
      </c>
      <c r="J108" s="23" t="s">
        <v>203</v>
      </c>
      <c r="K108" s="23" t="s">
        <v>379</v>
      </c>
      <c r="L108" s="23" t="s">
        <v>57</v>
      </c>
      <c r="M108" s="23">
        <v>0</v>
      </c>
      <c r="N108" s="23"/>
      <c r="O108" s="25"/>
      <c r="P108" s="24" t="s">
        <v>50</v>
      </c>
      <c r="Q108" s="24"/>
    </row>
    <row r="109" ht="41.75">
      <c r="A109" s="23" t="s">
        <v>385</v>
      </c>
      <c r="B109" s="23" t="s">
        <v>23</v>
      </c>
      <c r="C109" s="23" t="s">
        <v>372</v>
      </c>
      <c r="D109" s="23" t="s">
        <v>373</v>
      </c>
      <c r="E109" s="23" t="s">
        <v>386</v>
      </c>
      <c r="F109" s="24" t="s">
        <v>387</v>
      </c>
      <c r="G109" s="24" t="s">
        <v>46</v>
      </c>
      <c r="H109" s="23">
        <v>4</v>
      </c>
      <c r="I109" s="23" t="s">
        <v>83</v>
      </c>
      <c r="J109" s="23" t="s">
        <v>203</v>
      </c>
      <c r="K109" s="23" t="s">
        <v>382</v>
      </c>
      <c r="L109" s="23" t="s">
        <v>57</v>
      </c>
      <c r="M109" s="23">
        <v>0</v>
      </c>
      <c r="N109" s="23"/>
      <c r="O109" s="25"/>
      <c r="P109" s="24" t="s">
        <v>50</v>
      </c>
      <c r="Q109" s="24"/>
    </row>
    <row r="110" ht="41.75">
      <c r="A110" s="23" t="s">
        <v>388</v>
      </c>
      <c r="B110" s="23" t="s">
        <v>23</v>
      </c>
      <c r="C110" s="23" t="s">
        <v>372</v>
      </c>
      <c r="D110" s="23" t="s">
        <v>373</v>
      </c>
      <c r="E110" s="23" t="s">
        <v>389</v>
      </c>
      <c r="F110" s="24" t="s">
        <v>390</v>
      </c>
      <c r="G110" s="24" t="s">
        <v>46</v>
      </c>
      <c r="H110" s="23">
        <v>4</v>
      </c>
      <c r="I110" s="23" t="s">
        <v>83</v>
      </c>
      <c r="J110" s="23" t="s">
        <v>203</v>
      </c>
      <c r="K110" s="23" t="s">
        <v>385</v>
      </c>
      <c r="L110" s="23" t="s">
        <v>57</v>
      </c>
      <c r="M110" s="23">
        <v>0</v>
      </c>
      <c r="N110" s="23"/>
      <c r="O110" s="25"/>
      <c r="P110" s="24" t="s">
        <v>50</v>
      </c>
      <c r="Q110" s="24"/>
    </row>
    <row r="111" ht="41.75">
      <c r="A111" s="23" t="s">
        <v>391</v>
      </c>
      <c r="B111" s="23" t="s">
        <v>23</v>
      </c>
      <c r="C111" s="23" t="s">
        <v>372</v>
      </c>
      <c r="D111" s="23" t="s">
        <v>373</v>
      </c>
      <c r="E111" s="23" t="s">
        <v>392</v>
      </c>
      <c r="F111" s="24" t="s">
        <v>393</v>
      </c>
      <c r="G111" s="24" t="s">
        <v>46</v>
      </c>
      <c r="H111" s="23">
        <v>4</v>
      </c>
      <c r="I111" s="23" t="s">
        <v>83</v>
      </c>
      <c r="J111" s="23" t="s">
        <v>203</v>
      </c>
      <c r="K111" s="23" t="s">
        <v>388</v>
      </c>
      <c r="L111" s="23" t="s">
        <v>57</v>
      </c>
      <c r="M111" s="23">
        <v>0</v>
      </c>
      <c r="N111" s="23"/>
      <c r="O111" s="25"/>
      <c r="P111" s="24" t="s">
        <v>50</v>
      </c>
      <c r="Q111" s="24"/>
    </row>
    <row r="112" ht="41.75">
      <c r="A112" s="23" t="s">
        <v>394</v>
      </c>
      <c r="B112" s="23" t="s">
        <v>23</v>
      </c>
      <c r="C112" s="23" t="s">
        <v>372</v>
      </c>
      <c r="D112" s="23" t="s">
        <v>373</v>
      </c>
      <c r="E112" s="23" t="s">
        <v>395</v>
      </c>
      <c r="F112" s="24" t="s">
        <v>396</v>
      </c>
      <c r="G112" s="24" t="s">
        <v>46</v>
      </c>
      <c r="H112" s="23">
        <v>4</v>
      </c>
      <c r="I112" s="23" t="s">
        <v>83</v>
      </c>
      <c r="J112" s="23" t="s">
        <v>203</v>
      </c>
      <c r="K112" s="23" t="s">
        <v>391</v>
      </c>
      <c r="L112" s="23" t="s">
        <v>57</v>
      </c>
      <c r="M112" s="23">
        <v>0</v>
      </c>
      <c r="N112" s="23"/>
      <c r="O112" s="25"/>
      <c r="P112" s="24" t="s">
        <v>50</v>
      </c>
      <c r="Q112" s="24"/>
    </row>
    <row r="113" ht="41.75">
      <c r="A113" s="23" t="s">
        <v>397</v>
      </c>
      <c r="B113" s="23" t="s">
        <v>23</v>
      </c>
      <c r="C113" s="23" t="s">
        <v>372</v>
      </c>
      <c r="D113" s="23" t="s">
        <v>373</v>
      </c>
      <c r="E113" s="23" t="s">
        <v>398</v>
      </c>
      <c r="F113" s="24" t="s">
        <v>399</v>
      </c>
      <c r="G113" s="24" t="s">
        <v>46</v>
      </c>
      <c r="H113" s="23">
        <v>4</v>
      </c>
      <c r="I113" s="23" t="s">
        <v>83</v>
      </c>
      <c r="J113" s="23" t="s">
        <v>203</v>
      </c>
      <c r="K113" s="23" t="s">
        <v>394</v>
      </c>
      <c r="L113" s="23" t="s">
        <v>57</v>
      </c>
      <c r="M113" s="23">
        <v>0</v>
      </c>
      <c r="N113" s="23"/>
      <c r="O113" s="25"/>
      <c r="P113" s="24" t="s">
        <v>50</v>
      </c>
      <c r="Q113" s="24"/>
    </row>
    <row r="114" ht="41.75">
      <c r="A114" s="23" t="s">
        <v>400</v>
      </c>
      <c r="B114" s="23" t="s">
        <v>23</v>
      </c>
      <c r="C114" s="23" t="s">
        <v>372</v>
      </c>
      <c r="D114" s="23" t="s">
        <v>373</v>
      </c>
      <c r="E114" s="23" t="s">
        <v>401</v>
      </c>
      <c r="F114" s="24" t="s">
        <v>402</v>
      </c>
      <c r="G114" s="24" t="s">
        <v>46</v>
      </c>
      <c r="H114" s="23">
        <v>4</v>
      </c>
      <c r="I114" s="23" t="s">
        <v>83</v>
      </c>
      <c r="J114" s="23" t="s">
        <v>203</v>
      </c>
      <c r="K114" s="23" t="s">
        <v>397</v>
      </c>
      <c r="L114" s="23" t="s">
        <v>57</v>
      </c>
      <c r="M114" s="23">
        <v>0</v>
      </c>
      <c r="N114" s="23"/>
      <c r="O114" s="25"/>
      <c r="P114" s="24" t="s">
        <v>50</v>
      </c>
      <c r="Q114" s="24"/>
    </row>
    <row r="115" ht="41.75">
      <c r="A115" s="23" t="s">
        <v>403</v>
      </c>
      <c r="B115" s="23" t="s">
        <v>24</v>
      </c>
      <c r="C115" s="23" t="s">
        <v>404</v>
      </c>
      <c r="D115" s="23" t="s">
        <v>405</v>
      </c>
      <c r="E115" s="23" t="s">
        <v>406</v>
      </c>
      <c r="F115" s="24" t="s">
        <v>407</v>
      </c>
      <c r="G115" s="24" t="s">
        <v>46</v>
      </c>
      <c r="H115" s="23">
        <v>8</v>
      </c>
      <c r="I115" s="23" t="s">
        <v>156</v>
      </c>
      <c r="J115" s="23" t="s">
        <v>48</v>
      </c>
      <c r="K115" s="23"/>
      <c r="L115" s="23" t="s">
        <v>57</v>
      </c>
      <c r="M115" s="23">
        <v>0</v>
      </c>
      <c r="N115" s="23"/>
      <c r="O115" s="25"/>
      <c r="P115" s="24" t="s">
        <v>50</v>
      </c>
      <c r="Q115" s="24"/>
    </row>
    <row r="116" ht="41.75">
      <c r="A116" s="23" t="s">
        <v>408</v>
      </c>
      <c r="B116" s="23" t="s">
        <v>24</v>
      </c>
      <c r="C116" s="23" t="s">
        <v>404</v>
      </c>
      <c r="D116" s="23" t="s">
        <v>405</v>
      </c>
      <c r="E116" s="23" t="s">
        <v>409</v>
      </c>
      <c r="F116" s="24" t="s">
        <v>410</v>
      </c>
      <c r="G116" s="24" t="s">
        <v>46</v>
      </c>
      <c r="H116" s="23">
        <v>8</v>
      </c>
      <c r="I116" s="23" t="s">
        <v>156</v>
      </c>
      <c r="J116" s="23" t="s">
        <v>48</v>
      </c>
      <c r="K116" s="23" t="s">
        <v>403</v>
      </c>
      <c r="L116" s="23" t="s">
        <v>57</v>
      </c>
      <c r="M116" s="23">
        <v>0</v>
      </c>
      <c r="N116" s="23"/>
      <c r="O116" s="25"/>
      <c r="P116" s="24" t="s">
        <v>50</v>
      </c>
      <c r="Q116" s="24"/>
    </row>
    <row r="117" ht="41.75">
      <c r="A117" s="23" t="s">
        <v>411</v>
      </c>
      <c r="B117" s="23" t="s">
        <v>24</v>
      </c>
      <c r="C117" s="23" t="s">
        <v>404</v>
      </c>
      <c r="D117" s="23" t="s">
        <v>405</v>
      </c>
      <c r="E117" s="23" t="s">
        <v>412</v>
      </c>
      <c r="F117" s="24" t="s">
        <v>413</v>
      </c>
      <c r="G117" s="24" t="s">
        <v>46</v>
      </c>
      <c r="H117" s="23">
        <v>8</v>
      </c>
      <c r="I117" s="23" t="s">
        <v>156</v>
      </c>
      <c r="J117" s="23" t="s">
        <v>48</v>
      </c>
      <c r="K117" s="23" t="s">
        <v>408</v>
      </c>
      <c r="L117" s="23" t="s">
        <v>57</v>
      </c>
      <c r="M117" s="23">
        <v>0</v>
      </c>
      <c r="N117" s="23"/>
      <c r="O117" s="25"/>
      <c r="P117" s="24" t="s">
        <v>50</v>
      </c>
      <c r="Q117" s="24"/>
    </row>
    <row r="118" ht="41.75">
      <c r="A118" s="23" t="s">
        <v>414</v>
      </c>
      <c r="B118" s="23" t="s">
        <v>24</v>
      </c>
      <c r="C118" s="23" t="s">
        <v>404</v>
      </c>
      <c r="D118" s="23" t="s">
        <v>405</v>
      </c>
      <c r="E118" s="23" t="s">
        <v>415</v>
      </c>
      <c r="F118" s="24" t="s">
        <v>416</v>
      </c>
      <c r="G118" s="24" t="s">
        <v>46</v>
      </c>
      <c r="H118" s="23">
        <v>8</v>
      </c>
      <c r="I118" s="23" t="s">
        <v>156</v>
      </c>
      <c r="J118" s="23" t="s">
        <v>48</v>
      </c>
      <c r="K118" s="23" t="s">
        <v>411</v>
      </c>
      <c r="L118" s="23" t="s">
        <v>57</v>
      </c>
      <c r="M118" s="23">
        <v>0</v>
      </c>
      <c r="N118" s="23"/>
      <c r="O118" s="25"/>
      <c r="P118" s="24" t="s">
        <v>50</v>
      </c>
      <c r="Q118" s="24"/>
    </row>
    <row r="119" ht="41.75">
      <c r="A119" s="23" t="s">
        <v>417</v>
      </c>
      <c r="B119" s="23" t="s">
        <v>24</v>
      </c>
      <c r="C119" s="23" t="s">
        <v>404</v>
      </c>
      <c r="D119" s="23" t="s">
        <v>405</v>
      </c>
      <c r="E119" s="23" t="s">
        <v>418</v>
      </c>
      <c r="F119" s="24" t="s">
        <v>419</v>
      </c>
      <c r="G119" s="24" t="s">
        <v>46</v>
      </c>
      <c r="H119" s="23">
        <v>8</v>
      </c>
      <c r="I119" s="23" t="s">
        <v>156</v>
      </c>
      <c r="J119" s="23" t="s">
        <v>48</v>
      </c>
      <c r="K119" s="23" t="s">
        <v>414</v>
      </c>
      <c r="L119" s="23" t="s">
        <v>57</v>
      </c>
      <c r="M119" s="23">
        <v>0</v>
      </c>
      <c r="N119" s="23"/>
      <c r="O119" s="25"/>
      <c r="P119" s="24" t="s">
        <v>50</v>
      </c>
      <c r="Q119" s="24"/>
    </row>
    <row r="120" ht="41.75">
      <c r="A120" s="23" t="s">
        <v>420</v>
      </c>
      <c r="B120" s="23" t="s">
        <v>24</v>
      </c>
      <c r="C120" s="23" t="s">
        <v>404</v>
      </c>
      <c r="D120" s="23" t="s">
        <v>405</v>
      </c>
      <c r="E120" s="23" t="s">
        <v>421</v>
      </c>
      <c r="F120" s="24" t="s">
        <v>422</v>
      </c>
      <c r="G120" s="24" t="s">
        <v>46</v>
      </c>
      <c r="H120" s="23">
        <v>8</v>
      </c>
      <c r="I120" s="23" t="s">
        <v>156</v>
      </c>
      <c r="J120" s="23" t="s">
        <v>48</v>
      </c>
      <c r="K120" s="23" t="s">
        <v>417</v>
      </c>
      <c r="L120" s="23" t="s">
        <v>57</v>
      </c>
      <c r="M120" s="23">
        <v>0</v>
      </c>
      <c r="N120" s="23"/>
      <c r="O120" s="25"/>
      <c r="P120" s="24" t="s">
        <v>50</v>
      </c>
      <c r="Q120" s="24"/>
    </row>
    <row r="121" ht="41.75">
      <c r="A121" s="23" t="s">
        <v>423</v>
      </c>
      <c r="B121" s="23" t="s">
        <v>24</v>
      </c>
      <c r="C121" s="23" t="s">
        <v>404</v>
      </c>
      <c r="D121" s="23" t="s">
        <v>405</v>
      </c>
      <c r="E121" s="23" t="s">
        <v>424</v>
      </c>
      <c r="F121" s="24" t="s">
        <v>425</v>
      </c>
      <c r="G121" s="24" t="s">
        <v>46</v>
      </c>
      <c r="H121" s="23">
        <v>8</v>
      </c>
      <c r="I121" s="23" t="s">
        <v>156</v>
      </c>
      <c r="J121" s="23" t="s">
        <v>48</v>
      </c>
      <c r="K121" s="23" t="s">
        <v>420</v>
      </c>
      <c r="L121" s="23" t="s">
        <v>57</v>
      </c>
      <c r="M121" s="23">
        <v>0</v>
      </c>
      <c r="N121" s="23"/>
      <c r="O121" s="25"/>
      <c r="P121" s="24" t="s">
        <v>50</v>
      </c>
      <c r="Q121" s="24"/>
    </row>
    <row r="122" ht="41.75">
      <c r="A122" s="23" t="s">
        <v>426</v>
      </c>
      <c r="B122" s="23" t="s">
        <v>24</v>
      </c>
      <c r="C122" s="23" t="s">
        <v>404</v>
      </c>
      <c r="D122" s="23" t="s">
        <v>405</v>
      </c>
      <c r="E122" s="23" t="s">
        <v>427</v>
      </c>
      <c r="F122" s="24" t="s">
        <v>428</v>
      </c>
      <c r="G122" s="24" t="s">
        <v>46</v>
      </c>
      <c r="H122" s="23">
        <v>8</v>
      </c>
      <c r="I122" s="23" t="s">
        <v>156</v>
      </c>
      <c r="J122" s="23" t="s">
        <v>48</v>
      </c>
      <c r="K122" s="23" t="s">
        <v>423</v>
      </c>
      <c r="L122" s="23" t="s">
        <v>57</v>
      </c>
      <c r="M122" s="23">
        <v>0</v>
      </c>
      <c r="N122" s="23"/>
      <c r="O122" s="25"/>
      <c r="P122" s="24" t="s">
        <v>50</v>
      </c>
      <c r="Q122" s="24"/>
    </row>
    <row r="123" ht="41.75">
      <c r="A123" s="23" t="s">
        <v>429</v>
      </c>
      <c r="B123" s="23" t="s">
        <v>24</v>
      </c>
      <c r="C123" s="23" t="s">
        <v>404</v>
      </c>
      <c r="D123" s="23" t="s">
        <v>405</v>
      </c>
      <c r="E123" s="23" t="s">
        <v>430</v>
      </c>
      <c r="F123" s="24" t="s">
        <v>431</v>
      </c>
      <c r="G123" s="24" t="s">
        <v>46</v>
      </c>
      <c r="H123" s="23">
        <v>8</v>
      </c>
      <c r="I123" s="23" t="s">
        <v>156</v>
      </c>
      <c r="J123" s="23" t="s">
        <v>48</v>
      </c>
      <c r="K123" s="23" t="s">
        <v>426</v>
      </c>
      <c r="L123" s="23" t="s">
        <v>57</v>
      </c>
      <c r="M123" s="23">
        <v>0</v>
      </c>
      <c r="N123" s="23"/>
      <c r="O123" s="25"/>
      <c r="P123" s="24" t="s">
        <v>50</v>
      </c>
      <c r="Q123" s="24"/>
    </row>
    <row r="124" ht="41.75">
      <c r="A124" s="23" t="s">
        <v>432</v>
      </c>
      <c r="B124" s="23" t="s">
        <v>24</v>
      </c>
      <c r="C124" s="23" t="s">
        <v>404</v>
      </c>
      <c r="D124" s="23" t="s">
        <v>405</v>
      </c>
      <c r="E124" s="23" t="s">
        <v>433</v>
      </c>
      <c r="F124" s="24" t="s">
        <v>434</v>
      </c>
      <c r="G124" s="24" t="s">
        <v>46</v>
      </c>
      <c r="H124" s="23">
        <v>8</v>
      </c>
      <c r="I124" s="23" t="s">
        <v>156</v>
      </c>
      <c r="J124" s="23" t="s">
        <v>48</v>
      </c>
      <c r="K124" s="23" t="s">
        <v>429</v>
      </c>
      <c r="L124" s="23" t="s">
        <v>57</v>
      </c>
      <c r="M124" s="23">
        <v>0</v>
      </c>
      <c r="N124" s="23"/>
      <c r="O124" s="25"/>
      <c r="P124" s="24" t="s">
        <v>50</v>
      </c>
      <c r="Q124" s="24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aboveAverage="0" operator="containsText" rank="0" text="Completed" id="{0D6ACE5B-3544-465C-B7CE-6B91FAE6D1CA}">
            <xm:f>NOT(ISERROR(SEARCH("Completed",L2)))</xm:f>
            <x14:dxf>
              <font>
                <b/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L2:L124</xm:sqref>
        </x14:conditionalFormatting>
        <x14:conditionalFormatting xmlns:xm="http://schemas.microsoft.com/office/excel/2006/main">
          <x14:cfRule type="containsText" priority="3" aboveAverage="0" operator="containsText" rank="0" text="In Progress" id="{E5A2633F-FE6D-4336-8F75-DF11F90DC9F4}">
            <xm:f>NOT(ISERROR(SEARCH("In Progress",L2)))</xm:f>
            <x14:dxf>
              <font>
                <color rgb="FF9C6500"/>
              </font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L2:L124</xm:sqref>
        </x14:conditionalFormatting>
        <x14:conditionalFormatting xmlns:xm="http://schemas.microsoft.com/office/excel/2006/main">
          <x14:cfRule type="containsText" priority="4" aboveAverage="0" operator="containsText" rank="0" text="Revisit" id="{BA4E5BAD-3963-45B8-9C04-D3BD81E29477}">
            <xm:f>NOT(ISERROR(SEARCH("Revisit",L2)))</xm:f>
            <x14:dxf>
              <font>
                <color rgb="FF9C0006"/>
              </font>
              <fill>
                <patternFill patternType="solid">
                  <fgColor rgb="FFF4CCCC"/>
                  <bgColor rgb="FFF4CCCC"/>
                </patternFill>
              </fill>
            </x14:dxf>
          </x14:cfRule>
          <xm:sqref>L2:L124</xm:sqref>
        </x14:conditionalFormatting>
        <x14:conditionalFormatting xmlns:xm="http://schemas.microsoft.com/office/excel/2006/main">
          <x14:cfRule type="dataBar" priority="5" id="{D1B9B614-D747-4940-A57B-ECD921C404F4}">
            <x14:dataBar maxLength="90" minLength="10" axisPosition="automatic" direction="context">
              <x14:cfvo type="min"/>
              <x14:cfvo type="max"/>
              <x14:fillColor rgb="FF5B9BD5"/>
              <x14:negativeFillColor rgb="FF5B9BD5"/>
              <x14:axisColor indexed="64"/>
            </x14:dataBar>
          </x14:cfRule>
          <xm:sqref>M2:M124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420FDE69-CEC2-44A1-AC4F-E2D53512F67D}" type="list" allowBlank="0" errorStyle="stop" imeMode="noControl" operator="between" showDropDown="0" showErrorMessage="0" showInputMessage="0">
          <x14:formula1>
            <xm:f>"☐ Not Started,◐ In Progress,☑ Completed,↻ Revisit"</xm:f>
          </x14:formula1>
          <x14:formula2>
            <xm:f>0</xm:f>
          </x14:formula2>
          <xm:sqref>L2:L124</xm:sqref>
        </x14:dataValidation>
        <x14:dataValidation xr:uid="{96B9E689-C74A-45FE-96CE-2D9FC222556C}" type="whole" allowBlank="0" errorStyle="stop" imeMode="noControl" operator="between" showDropDown="0" showErrorMessage="0" showInputMessage="0">
          <x14:formula1>
            <xm:f>0</xm:f>
          </x14:formula1>
          <x14:formula2>
            <xm:f>5</xm:f>
          </x14:formula2>
          <xm:sqref>M2:M124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9.7578125" defaultRowHeight="15"/>
  <cols>
    <col customWidth="1" min="1" max="1" style="1" width="29.52"/>
    <col customWidth="1" min="2" max="2" style="1" width="27.239999999999998"/>
    <col customWidth="1" min="3" max="3" style="1" width="61.299999999999997"/>
    <col customWidth="1" min="4" max="4" style="1" width="11.35"/>
    <col customWidth="1" min="5" max="5" style="1" width="13.619999999999999"/>
    <col customWidth="1" min="6" max="6" style="1" width="18.16"/>
    <col customWidth="1" min="7" max="7" style="1" width="43.140000000000001"/>
  </cols>
  <sheetData>
    <row r="1" ht="34" customHeight="1">
      <c r="A1" s="26" t="s">
        <v>435</v>
      </c>
      <c r="B1" s="26"/>
      <c r="C1" s="26"/>
      <c r="D1" s="26"/>
      <c r="E1" s="26"/>
      <c r="F1" s="26"/>
      <c r="G1" s="26"/>
    </row>
    <row r="3" ht="15">
      <c r="A3" s="27" t="s">
        <v>8</v>
      </c>
      <c r="B3" s="27" t="s">
        <v>436</v>
      </c>
      <c r="C3" s="27" t="s">
        <v>437</v>
      </c>
      <c r="D3" s="27" t="s">
        <v>9</v>
      </c>
      <c r="E3" s="27" t="s">
        <v>31</v>
      </c>
      <c r="F3" s="27" t="s">
        <v>438</v>
      </c>
      <c r="G3" s="27" t="s">
        <v>439</v>
      </c>
    </row>
    <row r="4" ht="23.850000000000001">
      <c r="A4" s="27" t="s">
        <v>12</v>
      </c>
      <c r="B4" s="27" t="s">
        <v>42</v>
      </c>
      <c r="C4" s="27" t="s">
        <v>440</v>
      </c>
      <c r="D4" s="27">
        <v>10</v>
      </c>
      <c r="E4" s="27">
        <v>20</v>
      </c>
      <c r="F4" s="27">
        <v>3</v>
      </c>
      <c r="G4" s="27" t="s">
        <v>441</v>
      </c>
    </row>
    <row r="5" ht="23.850000000000001">
      <c r="A5" s="27" t="s">
        <v>14</v>
      </c>
      <c r="B5" s="27" t="s">
        <v>80</v>
      </c>
      <c r="C5" s="27" t="s">
        <v>442</v>
      </c>
      <c r="D5" s="27">
        <v>12</v>
      </c>
      <c r="E5" s="27">
        <v>36</v>
      </c>
      <c r="F5" s="27">
        <v>5</v>
      </c>
      <c r="G5" s="27" t="s">
        <v>441</v>
      </c>
    </row>
    <row r="6" ht="23.850000000000001">
      <c r="A6" s="27" t="s">
        <v>15</v>
      </c>
      <c r="B6" s="27" t="s">
        <v>118</v>
      </c>
      <c r="C6" s="27" t="s">
        <v>443</v>
      </c>
      <c r="D6" s="27">
        <v>12</v>
      </c>
      <c r="E6" s="27">
        <v>36</v>
      </c>
      <c r="F6" s="27">
        <v>5</v>
      </c>
      <c r="G6" s="27" t="s">
        <v>441</v>
      </c>
    </row>
    <row r="7" ht="23.850000000000001">
      <c r="A7" s="27" t="s">
        <v>16</v>
      </c>
      <c r="B7" s="27" t="s">
        <v>155</v>
      </c>
      <c r="C7" s="27" t="s">
        <v>444</v>
      </c>
      <c r="D7" s="27">
        <v>14</v>
      </c>
      <c r="E7" s="27">
        <v>56</v>
      </c>
      <c r="F7" s="27">
        <v>7</v>
      </c>
      <c r="G7" s="27" t="s">
        <v>441</v>
      </c>
    </row>
    <row r="8" ht="23.850000000000001">
      <c r="A8" s="27" t="s">
        <v>17</v>
      </c>
      <c r="B8" s="27" t="s">
        <v>199</v>
      </c>
      <c r="C8" s="27" t="s">
        <v>445</v>
      </c>
      <c r="D8" s="27">
        <v>8</v>
      </c>
      <c r="E8" s="27">
        <v>32</v>
      </c>
      <c r="F8" s="27">
        <v>4</v>
      </c>
      <c r="G8" s="27" t="s">
        <v>446</v>
      </c>
    </row>
    <row r="9" ht="23.850000000000001">
      <c r="A9" s="27" t="s">
        <v>18</v>
      </c>
      <c r="B9" s="27" t="s">
        <v>226</v>
      </c>
      <c r="C9" s="27" t="s">
        <v>447</v>
      </c>
      <c r="D9" s="27">
        <v>12</v>
      </c>
      <c r="E9" s="27">
        <v>48</v>
      </c>
      <c r="F9" s="27">
        <v>6</v>
      </c>
      <c r="G9" s="27" t="s">
        <v>441</v>
      </c>
    </row>
    <row r="10" ht="23.850000000000001">
      <c r="A10" s="27" t="s">
        <v>19</v>
      </c>
      <c r="B10" s="27" t="s">
        <v>263</v>
      </c>
      <c r="C10" s="27" t="s">
        <v>448</v>
      </c>
      <c r="D10" s="27">
        <v>9</v>
      </c>
      <c r="E10" s="27">
        <v>36</v>
      </c>
      <c r="F10" s="27">
        <v>5</v>
      </c>
      <c r="G10" s="27" t="s">
        <v>441</v>
      </c>
    </row>
    <row r="11" ht="23.850000000000001">
      <c r="A11" s="27" t="s">
        <v>20</v>
      </c>
      <c r="B11" s="27" t="s">
        <v>291</v>
      </c>
      <c r="C11" s="27" t="s">
        <v>449</v>
      </c>
      <c r="D11" s="27">
        <v>10</v>
      </c>
      <c r="E11" s="27">
        <v>40</v>
      </c>
      <c r="F11" s="27">
        <v>5</v>
      </c>
      <c r="G11" s="27" t="s">
        <v>446</v>
      </c>
    </row>
    <row r="12" ht="23.850000000000001">
      <c r="A12" s="27" t="s">
        <v>21</v>
      </c>
      <c r="B12" s="27" t="s">
        <v>322</v>
      </c>
      <c r="C12" s="27" t="s">
        <v>450</v>
      </c>
      <c r="D12" s="27">
        <v>9</v>
      </c>
      <c r="E12" s="27">
        <v>36</v>
      </c>
      <c r="F12" s="27">
        <v>5</v>
      </c>
      <c r="G12" s="27" t="s">
        <v>441</v>
      </c>
    </row>
    <row r="13" ht="23.850000000000001">
      <c r="A13" s="27" t="s">
        <v>22</v>
      </c>
      <c r="B13" s="27" t="s">
        <v>350</v>
      </c>
      <c r="C13" s="27" t="s">
        <v>451</v>
      </c>
      <c r="D13" s="27">
        <v>7</v>
      </c>
      <c r="E13" s="27">
        <v>28</v>
      </c>
      <c r="F13" s="27">
        <v>4</v>
      </c>
      <c r="G13" s="27" t="s">
        <v>441</v>
      </c>
    </row>
    <row r="14" ht="23.850000000000001">
      <c r="A14" s="27" t="s">
        <v>23</v>
      </c>
      <c r="B14" s="27" t="s">
        <v>372</v>
      </c>
      <c r="C14" s="27" t="s">
        <v>452</v>
      </c>
      <c r="D14" s="27">
        <v>10</v>
      </c>
      <c r="E14" s="27">
        <v>40</v>
      </c>
      <c r="F14" s="27">
        <v>5</v>
      </c>
      <c r="G14" s="27" t="s">
        <v>453</v>
      </c>
    </row>
    <row r="15" ht="23.850000000000001">
      <c r="A15" s="27" t="s">
        <v>24</v>
      </c>
      <c r="B15" s="27" t="s">
        <v>404</v>
      </c>
      <c r="C15" s="27" t="s">
        <v>454</v>
      </c>
      <c r="D15" s="27">
        <v>10</v>
      </c>
      <c r="E15" s="27">
        <v>80</v>
      </c>
      <c r="F15" s="27">
        <v>10</v>
      </c>
      <c r="G15" s="27" t="s">
        <v>441</v>
      </c>
    </row>
  </sheetData>
  <mergeCells count="1">
    <mergeCell ref="A1:G1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9.7578125" defaultRowHeight="15"/>
  <cols>
    <col customWidth="1" min="1" max="1" style="1" width="20.43"/>
    <col customWidth="1" min="2" max="2" style="1" width="34.060000000000002"/>
    <col customWidth="1" min="3" max="8" style="1" width="20.43"/>
  </cols>
  <sheetData>
    <row r="1" ht="34" customHeight="1">
      <c r="A1" s="26" t="s">
        <v>455</v>
      </c>
      <c r="B1" s="26"/>
      <c r="C1" s="26"/>
      <c r="D1" s="26"/>
      <c r="E1" s="26"/>
      <c r="F1" s="26"/>
      <c r="G1" s="26"/>
      <c r="H1" s="26"/>
    </row>
    <row r="3" ht="15">
      <c r="A3" s="1" t="s">
        <v>456</v>
      </c>
      <c r="B3" s="1" t="s">
        <v>457</v>
      </c>
      <c r="C3" s="1" t="s">
        <v>458</v>
      </c>
      <c r="D3" s="1" t="s">
        <v>459</v>
      </c>
      <c r="E3" s="1" t="s">
        <v>460</v>
      </c>
      <c r="F3" s="1" t="s">
        <v>461</v>
      </c>
      <c r="G3" s="1" t="s">
        <v>462</v>
      </c>
      <c r="H3" s="1" t="s">
        <v>463</v>
      </c>
    </row>
    <row r="4" ht="15">
      <c r="A4" s="1">
        <v>1</v>
      </c>
      <c r="B4" s="1" t="s">
        <v>464</v>
      </c>
      <c r="C4" s="28"/>
      <c r="D4" s="29">
        <v>0</v>
      </c>
      <c r="E4" s="29">
        <v>0</v>
      </c>
      <c r="F4" s="29">
        <v>0</v>
      </c>
      <c r="G4" s="29">
        <v>0</v>
      </c>
      <c r="H4" s="29">
        <f t="shared" ref="H4:H9" si="1">AVERAGE(D4:G4)</f>
        <v>0</v>
      </c>
    </row>
    <row r="5" ht="15">
      <c r="A5" s="1">
        <v>2</v>
      </c>
      <c r="B5" s="1" t="s">
        <v>465</v>
      </c>
      <c r="C5" s="28"/>
      <c r="D5" s="29">
        <v>0</v>
      </c>
      <c r="E5" s="29">
        <v>0</v>
      </c>
      <c r="F5" s="29">
        <v>0</v>
      </c>
      <c r="G5" s="29">
        <v>0</v>
      </c>
      <c r="H5" s="29">
        <f t="shared" si="1"/>
        <v>0</v>
      </c>
    </row>
    <row r="6" ht="15">
      <c r="A6" s="1">
        <v>3</v>
      </c>
      <c r="B6" s="1" t="s">
        <v>466</v>
      </c>
      <c r="C6" s="28"/>
      <c r="D6" s="29">
        <v>0</v>
      </c>
      <c r="E6" s="29">
        <v>0</v>
      </c>
      <c r="F6" s="29">
        <v>0</v>
      </c>
      <c r="G6" s="29">
        <v>0</v>
      </c>
      <c r="H6" s="29">
        <f t="shared" si="1"/>
        <v>0</v>
      </c>
    </row>
    <row r="7" ht="15">
      <c r="A7" s="1">
        <v>4</v>
      </c>
      <c r="B7" s="1" t="s">
        <v>467</v>
      </c>
      <c r="C7" s="28"/>
      <c r="D7" s="29">
        <v>0</v>
      </c>
      <c r="E7" s="29">
        <v>0</v>
      </c>
      <c r="F7" s="29">
        <v>0</v>
      </c>
      <c r="G7" s="29">
        <v>0</v>
      </c>
      <c r="H7" s="29">
        <f t="shared" si="1"/>
        <v>0</v>
      </c>
    </row>
    <row r="8" ht="15">
      <c r="A8" s="1">
        <v>5</v>
      </c>
      <c r="B8" s="1" t="s">
        <v>468</v>
      </c>
      <c r="C8" s="28"/>
      <c r="D8" s="29">
        <v>0</v>
      </c>
      <c r="E8" s="29">
        <v>0</v>
      </c>
      <c r="F8" s="29">
        <v>0</v>
      </c>
      <c r="G8" s="29">
        <v>0</v>
      </c>
      <c r="H8" s="29">
        <f t="shared" si="1"/>
        <v>0</v>
      </c>
    </row>
    <row r="9" ht="15">
      <c r="A9" s="1">
        <v>6</v>
      </c>
      <c r="B9" s="1" t="s">
        <v>469</v>
      </c>
      <c r="C9" s="28"/>
      <c r="D9" s="29">
        <v>0</v>
      </c>
      <c r="E9" s="29">
        <v>0</v>
      </c>
      <c r="F9" s="29">
        <v>0</v>
      </c>
      <c r="G9" s="29">
        <v>0</v>
      </c>
      <c r="H9" s="29">
        <f t="shared" si="1"/>
        <v>0</v>
      </c>
    </row>
    <row r="10" ht="15">
      <c r="A10" s="1">
        <v>7</v>
      </c>
      <c r="B10" s="1" t="s">
        <v>470</v>
      </c>
      <c r="C10" s="28"/>
      <c r="D10" s="29">
        <v>0</v>
      </c>
      <c r="E10" s="29">
        <v>0</v>
      </c>
      <c r="F10" s="29">
        <v>0</v>
      </c>
      <c r="G10" s="29">
        <v>0</v>
      </c>
      <c r="H10" s="29">
        <f t="shared" ref="H10:H11" si="2">AVERAGE(D10:G10)</f>
        <v>0</v>
      </c>
    </row>
    <row r="11" ht="15">
      <c r="A11" s="1">
        <v>8</v>
      </c>
      <c r="B11" s="1" t="s">
        <v>471</v>
      </c>
      <c r="C11" s="28"/>
      <c r="D11" s="29">
        <v>0</v>
      </c>
      <c r="E11" s="29">
        <v>0</v>
      </c>
      <c r="F11" s="29">
        <v>0</v>
      </c>
      <c r="G11" s="29">
        <v>0</v>
      </c>
      <c r="H11" s="29">
        <f t="shared" si="2"/>
        <v>0</v>
      </c>
    </row>
    <row r="14" ht="15" customHeight="1">
      <c r="A14" s="30" t="s">
        <v>472</v>
      </c>
      <c r="B14" s="30"/>
      <c r="C14" s="30"/>
      <c r="D14" s="30"/>
      <c r="E14" s="30"/>
      <c r="F14" s="30"/>
      <c r="G14" s="30"/>
      <c r="H14" s="30"/>
    </row>
  </sheetData>
  <mergeCells count="2">
    <mergeCell ref="A1:H1"/>
    <mergeCell ref="A14:H14"/>
  </mergeCells>
  <conditionalFormatting sqref="H4:H1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7C177C08-5769-42A1-8B49-358F5827E7E3}" type="decimal" allowBlank="0" errorStyle="stop" imeMode="noControl" operator="between" showDropDown="0" showErrorMessage="0" showInputMessage="0">
          <x14:formula1>
            <xm:f>0</xm:f>
          </x14:formula1>
          <x14:formula2>
            <xm:f>1</xm:f>
          </x14:formula2>
          <xm:sqref>D4:G11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9.7578125" defaultRowHeight="15"/>
  <cols>
    <col customWidth="1" min="1" max="5" style="1" width="18.16"/>
    <col customWidth="1" min="6" max="9" style="1" width="31.780000000000001"/>
    <col customWidth="1" min="10" max="10" style="1" width="18.16"/>
  </cols>
  <sheetData>
    <row r="1" ht="15">
      <c r="A1" s="1" t="s">
        <v>458</v>
      </c>
      <c r="B1" s="1" t="s">
        <v>25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</row>
    <row r="2" ht="15">
      <c r="A2" s="28"/>
      <c r="D2" s="1" t="s">
        <v>481</v>
      </c>
      <c r="J2" s="28"/>
    </row>
    <row r="3" ht="15">
      <c r="A3" s="28"/>
      <c r="D3" s="1" t="s">
        <v>481</v>
      </c>
      <c r="J3" s="28"/>
    </row>
    <row r="4" ht="15">
      <c r="A4" s="28"/>
      <c r="D4" s="1" t="s">
        <v>481</v>
      </c>
      <c r="J4" s="28"/>
    </row>
    <row r="5" ht="15">
      <c r="A5" s="28"/>
      <c r="D5" s="1" t="s">
        <v>481</v>
      </c>
      <c r="J5" s="28"/>
    </row>
    <row r="6" ht="15">
      <c r="A6" s="28"/>
      <c r="D6" s="1" t="s">
        <v>481</v>
      </c>
      <c r="J6" s="28"/>
    </row>
    <row r="7" ht="15">
      <c r="A7" s="28"/>
      <c r="D7" s="1" t="s">
        <v>481</v>
      </c>
      <c r="J7" s="28"/>
    </row>
    <row r="8" ht="15">
      <c r="A8" s="28"/>
      <c r="D8" s="1" t="s">
        <v>481</v>
      </c>
      <c r="J8" s="28"/>
    </row>
    <row r="9" ht="15">
      <c r="A9" s="28"/>
      <c r="D9" s="1" t="s">
        <v>481</v>
      </c>
      <c r="J9" s="28"/>
    </row>
    <row r="10" ht="15">
      <c r="A10" s="28"/>
      <c r="D10" s="1" t="s">
        <v>481</v>
      </c>
      <c r="J10" s="28"/>
    </row>
    <row r="11" ht="15">
      <c r="A11" s="28"/>
      <c r="D11" s="1" t="s">
        <v>481</v>
      </c>
      <c r="J11" s="28"/>
    </row>
    <row r="12" ht="15">
      <c r="A12" s="28"/>
      <c r="D12" s="1" t="s">
        <v>481</v>
      </c>
      <c r="J12" s="28"/>
    </row>
    <row r="13" ht="15">
      <c r="A13" s="28"/>
      <c r="D13" s="1" t="s">
        <v>481</v>
      </c>
      <c r="J13" s="28"/>
    </row>
    <row r="14" ht="15">
      <c r="A14" s="28"/>
      <c r="D14" s="1" t="s">
        <v>481</v>
      </c>
      <c r="J14" s="28"/>
    </row>
    <row r="15" ht="15">
      <c r="A15" s="28"/>
      <c r="D15" s="1" t="s">
        <v>481</v>
      </c>
      <c r="J15" s="28"/>
    </row>
    <row r="16" ht="15">
      <c r="A16" s="28"/>
      <c r="D16" s="1" t="s">
        <v>481</v>
      </c>
      <c r="J16" s="28"/>
    </row>
    <row r="17" ht="15">
      <c r="A17" s="28"/>
      <c r="D17" s="1" t="s">
        <v>481</v>
      </c>
      <c r="J17" s="28"/>
    </row>
    <row r="18" ht="15">
      <c r="A18" s="28"/>
      <c r="D18" s="1" t="s">
        <v>481</v>
      </c>
      <c r="J18" s="28"/>
    </row>
    <row r="19" ht="15">
      <c r="A19" s="28"/>
      <c r="D19" s="1" t="s">
        <v>481</v>
      </c>
      <c r="J19" s="28"/>
    </row>
    <row r="20" ht="15">
      <c r="A20" s="28"/>
      <c r="D20" s="1" t="s">
        <v>481</v>
      </c>
      <c r="J20" s="28"/>
    </row>
    <row r="21" ht="15">
      <c r="A21" s="28"/>
      <c r="D21" s="1" t="s">
        <v>481</v>
      </c>
      <c r="J21" s="28"/>
    </row>
    <row r="22" ht="15">
      <c r="A22" s="28"/>
      <c r="D22" s="1" t="s">
        <v>481</v>
      </c>
      <c r="J22" s="28"/>
    </row>
    <row r="23" ht="15">
      <c r="A23" s="28"/>
      <c r="D23" s="1" t="s">
        <v>481</v>
      </c>
      <c r="J23" s="28"/>
    </row>
    <row r="24" ht="15">
      <c r="A24" s="28"/>
      <c r="D24" s="1" t="s">
        <v>481</v>
      </c>
      <c r="J24" s="28"/>
    </row>
    <row r="25" ht="15">
      <c r="A25" s="28"/>
      <c r="D25" s="1" t="s">
        <v>481</v>
      </c>
      <c r="J25" s="28"/>
    </row>
    <row r="26" ht="15">
      <c r="A26" s="28"/>
      <c r="D26" s="1" t="s">
        <v>481</v>
      </c>
      <c r="J26" s="28"/>
    </row>
    <row r="27" ht="15">
      <c r="A27" s="28"/>
      <c r="D27" s="1" t="s">
        <v>481</v>
      </c>
      <c r="J27" s="28"/>
    </row>
    <row r="28" ht="15">
      <c r="A28" s="28"/>
      <c r="D28" s="1" t="s">
        <v>481</v>
      </c>
      <c r="J28" s="28"/>
    </row>
    <row r="29" ht="15">
      <c r="A29" s="28"/>
      <c r="D29" s="1" t="s">
        <v>481</v>
      </c>
      <c r="J29" s="28"/>
    </row>
    <row r="30" ht="15">
      <c r="A30" s="28"/>
      <c r="D30" s="1" t="s">
        <v>481</v>
      </c>
      <c r="J30" s="28"/>
    </row>
    <row r="31" ht="15">
      <c r="A31" s="28"/>
      <c r="D31" s="1" t="s">
        <v>481</v>
      </c>
      <c r="J31" s="28"/>
    </row>
    <row r="32" ht="15">
      <c r="A32" s="28"/>
      <c r="D32" s="1" t="s">
        <v>481</v>
      </c>
      <c r="J32" s="28"/>
    </row>
    <row r="33" ht="15">
      <c r="A33" s="28"/>
      <c r="D33" s="1" t="s">
        <v>481</v>
      </c>
      <c r="J33" s="28"/>
    </row>
    <row r="34" ht="15">
      <c r="A34" s="28"/>
      <c r="D34" s="1" t="s">
        <v>481</v>
      </c>
      <c r="J34" s="28"/>
    </row>
    <row r="35" ht="15">
      <c r="A35" s="28"/>
      <c r="D35" s="1" t="s">
        <v>481</v>
      </c>
      <c r="J35" s="28"/>
    </row>
    <row r="36" ht="15">
      <c r="A36" s="28"/>
      <c r="D36" s="1" t="s">
        <v>481</v>
      </c>
      <c r="J36" s="28"/>
    </row>
    <row r="37" ht="15">
      <c r="A37" s="28"/>
      <c r="D37" s="1" t="s">
        <v>481</v>
      </c>
      <c r="J37" s="28"/>
    </row>
    <row r="38" ht="15">
      <c r="A38" s="28"/>
      <c r="D38" s="1" t="s">
        <v>481</v>
      </c>
      <c r="J38" s="28"/>
    </row>
    <row r="39" ht="15">
      <c r="A39" s="28"/>
      <c r="D39" s="1" t="s">
        <v>481</v>
      </c>
      <c r="J39" s="28"/>
    </row>
    <row r="40" ht="15">
      <c r="A40" s="28"/>
      <c r="D40" s="1" t="s">
        <v>481</v>
      </c>
      <c r="J40" s="28"/>
    </row>
    <row r="41" ht="15">
      <c r="A41" s="28"/>
      <c r="D41" s="1" t="s">
        <v>481</v>
      </c>
      <c r="J41" s="28"/>
    </row>
    <row r="42" ht="15">
      <c r="A42" s="28"/>
      <c r="D42" s="1" t="s">
        <v>481</v>
      </c>
      <c r="J42" s="28"/>
    </row>
    <row r="43" ht="15">
      <c r="A43" s="28"/>
      <c r="D43" s="1" t="s">
        <v>481</v>
      </c>
      <c r="J43" s="28"/>
    </row>
    <row r="44" ht="15">
      <c r="A44" s="28"/>
      <c r="D44" s="1" t="s">
        <v>481</v>
      </c>
      <c r="J44" s="28"/>
    </row>
    <row r="45" ht="15">
      <c r="A45" s="28"/>
      <c r="D45" s="1" t="s">
        <v>481</v>
      </c>
      <c r="J45" s="28"/>
    </row>
    <row r="46" ht="15">
      <c r="A46" s="28"/>
      <c r="D46" s="1" t="s">
        <v>481</v>
      </c>
      <c r="J46" s="28"/>
    </row>
    <row r="47" ht="15">
      <c r="A47" s="28"/>
      <c r="D47" s="1" t="s">
        <v>481</v>
      </c>
      <c r="J47" s="28"/>
    </row>
    <row r="48" ht="15">
      <c r="A48" s="28"/>
      <c r="D48" s="1" t="s">
        <v>481</v>
      </c>
      <c r="J48" s="28"/>
    </row>
    <row r="49" ht="15">
      <c r="A49" s="28"/>
      <c r="D49" s="1" t="s">
        <v>481</v>
      </c>
      <c r="J49" s="28"/>
    </row>
    <row r="50" ht="15">
      <c r="A50" s="28"/>
      <c r="D50" s="1" t="s">
        <v>481</v>
      </c>
      <c r="J50" s="28"/>
    </row>
    <row r="51" ht="15">
      <c r="A51" s="28"/>
      <c r="D51" s="1" t="s">
        <v>481</v>
      </c>
      <c r="J51" s="28"/>
    </row>
    <row r="52" ht="15">
      <c r="A52" s="28"/>
      <c r="D52" s="1" t="s">
        <v>481</v>
      </c>
      <c r="J52" s="28"/>
    </row>
    <row r="53" ht="15">
      <c r="A53" s="28"/>
      <c r="D53" s="1" t="s">
        <v>481</v>
      </c>
      <c r="J53" s="28"/>
    </row>
    <row r="54" ht="15">
      <c r="A54" s="28"/>
      <c r="D54" s="1" t="s">
        <v>481</v>
      </c>
      <c r="J54" s="28"/>
    </row>
    <row r="55" ht="15">
      <c r="A55" s="28"/>
      <c r="D55" s="1" t="s">
        <v>481</v>
      </c>
      <c r="J55" s="28"/>
    </row>
    <row r="56" ht="15">
      <c r="A56" s="28"/>
      <c r="D56" s="1" t="s">
        <v>481</v>
      </c>
      <c r="J56" s="28"/>
    </row>
    <row r="57" ht="15">
      <c r="A57" s="28"/>
      <c r="D57" s="1" t="s">
        <v>481</v>
      </c>
      <c r="J57" s="28"/>
    </row>
    <row r="58" ht="15">
      <c r="A58" s="28"/>
      <c r="D58" s="1" t="s">
        <v>481</v>
      </c>
      <c r="J58" s="28"/>
    </row>
    <row r="59" ht="15">
      <c r="A59" s="28"/>
      <c r="D59" s="1" t="s">
        <v>481</v>
      </c>
      <c r="J59" s="28"/>
    </row>
    <row r="60" ht="15">
      <c r="A60" s="28"/>
      <c r="D60" s="1" t="s">
        <v>481</v>
      </c>
      <c r="J60" s="28"/>
    </row>
    <row r="61" ht="15">
      <c r="A61" s="28"/>
      <c r="D61" s="1" t="s">
        <v>481</v>
      </c>
      <c r="J61" s="28"/>
    </row>
    <row r="62" ht="15">
      <c r="A62" s="28"/>
      <c r="D62" s="1" t="s">
        <v>481</v>
      </c>
      <c r="J62" s="28"/>
    </row>
    <row r="63" ht="15">
      <c r="A63" s="28"/>
      <c r="D63" s="1" t="s">
        <v>481</v>
      </c>
      <c r="J63" s="28"/>
    </row>
    <row r="64" ht="15">
      <c r="A64" s="28"/>
      <c r="D64" s="1" t="s">
        <v>481</v>
      </c>
      <c r="J64" s="28"/>
    </row>
    <row r="65" ht="15">
      <c r="A65" s="28"/>
      <c r="D65" s="1" t="s">
        <v>481</v>
      </c>
      <c r="J65" s="28"/>
    </row>
    <row r="66" ht="15">
      <c r="A66" s="28"/>
      <c r="D66" s="1" t="s">
        <v>481</v>
      </c>
      <c r="J66" s="28"/>
    </row>
    <row r="67" ht="15">
      <c r="A67" s="28"/>
      <c r="D67" s="1" t="s">
        <v>481</v>
      </c>
      <c r="J67" s="28"/>
    </row>
    <row r="68" ht="15">
      <c r="A68" s="28"/>
      <c r="D68" s="1" t="s">
        <v>481</v>
      </c>
      <c r="J68" s="28"/>
    </row>
    <row r="69" ht="15">
      <c r="A69" s="28"/>
      <c r="D69" s="1" t="s">
        <v>481</v>
      </c>
      <c r="J69" s="28"/>
    </row>
    <row r="70" ht="15">
      <c r="A70" s="28"/>
      <c r="D70" s="1" t="s">
        <v>481</v>
      </c>
      <c r="J70" s="28"/>
    </row>
    <row r="71" ht="15">
      <c r="A71" s="28"/>
      <c r="D71" s="1" t="s">
        <v>481</v>
      </c>
      <c r="J71" s="28"/>
    </row>
    <row r="72" ht="15">
      <c r="A72" s="28"/>
      <c r="D72" s="1" t="s">
        <v>481</v>
      </c>
      <c r="J72" s="28"/>
    </row>
    <row r="73" ht="15">
      <c r="A73" s="28"/>
      <c r="D73" s="1" t="s">
        <v>481</v>
      </c>
      <c r="J73" s="28"/>
    </row>
    <row r="74" ht="15">
      <c r="A74" s="28"/>
      <c r="D74" s="1" t="s">
        <v>481</v>
      </c>
      <c r="J74" s="28"/>
    </row>
    <row r="75" ht="15">
      <c r="A75" s="28"/>
      <c r="D75" s="1" t="s">
        <v>481</v>
      </c>
      <c r="J75" s="28"/>
    </row>
    <row r="76" ht="15">
      <c r="A76" s="28"/>
      <c r="D76" s="1" t="s">
        <v>481</v>
      </c>
      <c r="J76" s="28"/>
    </row>
    <row r="77" ht="15">
      <c r="A77" s="28"/>
      <c r="D77" s="1" t="s">
        <v>481</v>
      </c>
      <c r="J77" s="28"/>
    </row>
    <row r="78" ht="15">
      <c r="A78" s="28"/>
      <c r="D78" s="1" t="s">
        <v>481</v>
      </c>
      <c r="J78" s="28"/>
    </row>
    <row r="79" ht="15">
      <c r="A79" s="28"/>
      <c r="D79" s="1" t="s">
        <v>481</v>
      </c>
      <c r="J79" s="28"/>
    </row>
    <row r="80" ht="15">
      <c r="A80" s="28"/>
      <c r="D80" s="1" t="s">
        <v>481</v>
      </c>
      <c r="J80" s="28"/>
    </row>
    <row r="81" ht="15">
      <c r="A81" s="28"/>
      <c r="D81" s="1" t="s">
        <v>481</v>
      </c>
      <c r="J81" s="28"/>
    </row>
    <row r="82" ht="15">
      <c r="A82" s="28"/>
      <c r="D82" s="1" t="s">
        <v>481</v>
      </c>
      <c r="J82" s="28"/>
    </row>
    <row r="83" ht="15">
      <c r="A83" s="28"/>
      <c r="D83" s="1" t="s">
        <v>481</v>
      </c>
      <c r="J83" s="28"/>
    </row>
    <row r="84" ht="15">
      <c r="A84" s="28"/>
      <c r="D84" s="1" t="s">
        <v>481</v>
      </c>
      <c r="J84" s="28"/>
    </row>
    <row r="85" ht="15">
      <c r="A85" s="28"/>
      <c r="D85" s="1" t="s">
        <v>481</v>
      </c>
      <c r="J85" s="28"/>
    </row>
    <row r="86" ht="15">
      <c r="A86" s="28"/>
      <c r="D86" s="1" t="s">
        <v>481</v>
      </c>
      <c r="J86" s="28"/>
    </row>
    <row r="87" ht="15">
      <c r="A87" s="28"/>
      <c r="D87" s="1" t="s">
        <v>481</v>
      </c>
      <c r="J87" s="28"/>
    </row>
    <row r="88" ht="15">
      <c r="A88" s="28"/>
      <c r="D88" s="1" t="s">
        <v>481</v>
      </c>
      <c r="J88" s="28"/>
    </row>
    <row r="89" ht="15">
      <c r="A89" s="28"/>
      <c r="D89" s="1" t="s">
        <v>481</v>
      </c>
      <c r="J89" s="28"/>
    </row>
    <row r="90" ht="15">
      <c r="A90" s="28"/>
      <c r="D90" s="1" t="s">
        <v>481</v>
      </c>
      <c r="J90" s="28"/>
    </row>
    <row r="91" ht="15">
      <c r="A91" s="28"/>
      <c r="D91" s="1" t="s">
        <v>481</v>
      </c>
      <c r="J91" s="28"/>
    </row>
    <row r="92" ht="15">
      <c r="A92" s="28"/>
      <c r="D92" s="1" t="s">
        <v>481</v>
      </c>
      <c r="J92" s="28"/>
    </row>
    <row r="93" ht="15">
      <c r="A93" s="28"/>
      <c r="D93" s="1" t="s">
        <v>481</v>
      </c>
      <c r="J93" s="28"/>
    </row>
    <row r="94" ht="15">
      <c r="A94" s="28"/>
      <c r="D94" s="1" t="s">
        <v>481</v>
      </c>
      <c r="J94" s="28"/>
    </row>
    <row r="95" ht="15">
      <c r="A95" s="28"/>
      <c r="D95" s="1" t="s">
        <v>481</v>
      </c>
      <c r="J95" s="28"/>
    </row>
    <row r="96" ht="15">
      <c r="A96" s="28"/>
      <c r="D96" s="1" t="s">
        <v>481</v>
      </c>
      <c r="J96" s="28"/>
    </row>
    <row r="97" ht="15">
      <c r="A97" s="28"/>
      <c r="D97" s="1" t="s">
        <v>481</v>
      </c>
      <c r="J97" s="28"/>
    </row>
    <row r="98" ht="15">
      <c r="A98" s="28"/>
      <c r="D98" s="1" t="s">
        <v>481</v>
      </c>
      <c r="J98" s="28"/>
    </row>
    <row r="99" ht="15">
      <c r="A99" s="28"/>
      <c r="D99" s="1" t="s">
        <v>481</v>
      </c>
      <c r="J99" s="28"/>
    </row>
    <row r="100" ht="15">
      <c r="A100" s="28"/>
      <c r="D100" s="1" t="s">
        <v>481</v>
      </c>
      <c r="J100" s="28"/>
    </row>
    <row r="101" ht="15">
      <c r="A101" s="28"/>
      <c r="D101" s="1" t="s">
        <v>481</v>
      </c>
      <c r="J101" s="28"/>
    </row>
    <row r="102" ht="15">
      <c r="A102" s="28"/>
      <c r="D102" s="1" t="s">
        <v>481</v>
      </c>
      <c r="J102" s="28"/>
    </row>
    <row r="103" ht="15">
      <c r="A103" s="28"/>
      <c r="D103" s="1" t="s">
        <v>481</v>
      </c>
      <c r="J103" s="28"/>
    </row>
    <row r="104" ht="15">
      <c r="A104" s="28"/>
      <c r="D104" s="1" t="s">
        <v>481</v>
      </c>
      <c r="J104" s="28"/>
    </row>
    <row r="105" ht="15">
      <c r="A105" s="28"/>
      <c r="D105" s="1" t="s">
        <v>481</v>
      </c>
      <c r="J105" s="28"/>
    </row>
    <row r="106" ht="15">
      <c r="A106" s="28"/>
      <c r="D106" s="1" t="s">
        <v>481</v>
      </c>
      <c r="J106" s="28"/>
    </row>
    <row r="107" ht="15">
      <c r="A107" s="28"/>
      <c r="D107" s="1" t="s">
        <v>481</v>
      </c>
      <c r="J107" s="28"/>
    </row>
    <row r="108" ht="15">
      <c r="A108" s="28"/>
      <c r="D108" s="1" t="s">
        <v>481</v>
      </c>
      <c r="J108" s="28"/>
    </row>
    <row r="109" ht="15">
      <c r="A109" s="28"/>
      <c r="D109" s="1" t="s">
        <v>481</v>
      </c>
      <c r="J109" s="28"/>
    </row>
    <row r="110" ht="15">
      <c r="A110" s="28"/>
      <c r="D110" s="1" t="s">
        <v>481</v>
      </c>
      <c r="J110" s="28"/>
    </row>
    <row r="111" ht="15">
      <c r="A111" s="28"/>
      <c r="D111" s="1" t="s">
        <v>481</v>
      </c>
      <c r="J111" s="28"/>
    </row>
    <row r="112" ht="15">
      <c r="A112" s="28"/>
      <c r="D112" s="1" t="s">
        <v>481</v>
      </c>
      <c r="J112" s="28"/>
    </row>
    <row r="113" ht="15">
      <c r="A113" s="28"/>
      <c r="D113" s="1" t="s">
        <v>481</v>
      </c>
      <c r="J113" s="28"/>
    </row>
    <row r="114" ht="15">
      <c r="A114" s="28"/>
      <c r="D114" s="1" t="s">
        <v>481</v>
      </c>
      <c r="J114" s="28"/>
    </row>
    <row r="115" ht="15">
      <c r="A115" s="28"/>
      <c r="D115" s="1" t="s">
        <v>481</v>
      </c>
      <c r="J115" s="28"/>
    </row>
    <row r="116" ht="15">
      <c r="A116" s="28"/>
      <c r="D116" s="1" t="s">
        <v>481</v>
      </c>
      <c r="J116" s="28"/>
    </row>
    <row r="117" ht="15">
      <c r="A117" s="28"/>
      <c r="D117" s="1" t="s">
        <v>481</v>
      </c>
      <c r="J117" s="28"/>
    </row>
    <row r="118" ht="15">
      <c r="A118" s="28"/>
      <c r="D118" s="1" t="s">
        <v>481</v>
      </c>
      <c r="J118" s="28"/>
    </row>
    <row r="119" ht="15">
      <c r="A119" s="28"/>
      <c r="D119" s="1" t="s">
        <v>481</v>
      </c>
      <c r="J119" s="28"/>
    </row>
    <row r="120" ht="15">
      <c r="A120" s="28"/>
      <c r="D120" s="1" t="s">
        <v>481</v>
      </c>
      <c r="J120" s="28"/>
    </row>
    <row r="121" ht="15">
      <c r="A121" s="28"/>
      <c r="D121" s="1" t="s">
        <v>481</v>
      </c>
      <c r="J121" s="28"/>
    </row>
    <row r="122" ht="15">
      <c r="A122" s="28"/>
      <c r="D122" s="1" t="s">
        <v>481</v>
      </c>
      <c r="J122" s="28"/>
    </row>
    <row r="123" ht="15">
      <c r="A123" s="28"/>
      <c r="D123" s="1" t="s">
        <v>481</v>
      </c>
      <c r="J123" s="28"/>
    </row>
    <row r="124" ht="15">
      <c r="A124" s="28"/>
      <c r="D124" s="1" t="s">
        <v>481</v>
      </c>
      <c r="J124" s="28"/>
    </row>
    <row r="125" ht="15">
      <c r="A125" s="28"/>
      <c r="D125" s="1" t="s">
        <v>481</v>
      </c>
      <c r="J125" s="28"/>
    </row>
    <row r="126" ht="15">
      <c r="A126" s="28"/>
      <c r="D126" s="1" t="s">
        <v>481</v>
      </c>
      <c r="J126" s="28"/>
    </row>
    <row r="127" ht="15">
      <c r="A127" s="28"/>
      <c r="D127" s="1" t="s">
        <v>481</v>
      </c>
      <c r="J127" s="28"/>
    </row>
    <row r="128" ht="15">
      <c r="A128" s="28"/>
      <c r="D128" s="1" t="s">
        <v>481</v>
      </c>
      <c r="J128" s="28"/>
    </row>
    <row r="129" ht="15">
      <c r="A129" s="28"/>
      <c r="D129" s="1" t="s">
        <v>481</v>
      </c>
      <c r="J129" s="28"/>
    </row>
    <row r="130" ht="15">
      <c r="A130" s="28"/>
      <c r="D130" s="1" t="s">
        <v>481</v>
      </c>
      <c r="J130" s="28"/>
    </row>
    <row r="131" ht="15">
      <c r="A131" s="28"/>
      <c r="D131" s="1" t="s">
        <v>481</v>
      </c>
      <c r="J131" s="28"/>
    </row>
    <row r="132" ht="15">
      <c r="A132" s="28"/>
      <c r="D132" s="1" t="s">
        <v>481</v>
      </c>
      <c r="J132" s="28"/>
    </row>
    <row r="133" ht="15">
      <c r="A133" s="28"/>
      <c r="D133" s="1" t="s">
        <v>481</v>
      </c>
      <c r="J133" s="28"/>
    </row>
    <row r="134" ht="15">
      <c r="A134" s="28"/>
      <c r="D134" s="1" t="s">
        <v>481</v>
      </c>
      <c r="J134" s="28"/>
    </row>
    <row r="135" ht="15">
      <c r="A135" s="28"/>
      <c r="D135" s="1" t="s">
        <v>481</v>
      </c>
      <c r="J135" s="28"/>
    </row>
    <row r="136" ht="15">
      <c r="A136" s="28"/>
      <c r="D136" s="1" t="s">
        <v>481</v>
      </c>
      <c r="J136" s="28"/>
    </row>
    <row r="137" ht="15">
      <c r="A137" s="28"/>
      <c r="D137" s="1" t="s">
        <v>481</v>
      </c>
      <c r="J137" s="28"/>
    </row>
    <row r="138" ht="15">
      <c r="A138" s="28"/>
      <c r="D138" s="1" t="s">
        <v>481</v>
      </c>
      <c r="J138" s="28"/>
    </row>
    <row r="139" ht="15">
      <c r="A139" s="28"/>
      <c r="D139" s="1" t="s">
        <v>481</v>
      </c>
      <c r="J139" s="28"/>
    </row>
    <row r="140" ht="15">
      <c r="A140" s="28"/>
      <c r="D140" s="1" t="s">
        <v>481</v>
      </c>
      <c r="J140" s="28"/>
    </row>
    <row r="141" ht="15">
      <c r="A141" s="28"/>
      <c r="D141" s="1" t="s">
        <v>481</v>
      </c>
      <c r="J141" s="28"/>
    </row>
    <row r="142" ht="15">
      <c r="A142" s="28"/>
      <c r="D142" s="1" t="s">
        <v>481</v>
      </c>
      <c r="J142" s="28"/>
    </row>
    <row r="143" ht="15">
      <c r="A143" s="28"/>
      <c r="D143" s="1" t="s">
        <v>481</v>
      </c>
      <c r="J143" s="28"/>
    </row>
    <row r="144" ht="15">
      <c r="A144" s="28"/>
      <c r="D144" s="1" t="s">
        <v>481</v>
      </c>
      <c r="J144" s="28"/>
    </row>
    <row r="145" ht="15">
      <c r="A145" s="28"/>
      <c r="D145" s="1" t="s">
        <v>481</v>
      </c>
      <c r="J145" s="28"/>
    </row>
    <row r="146" ht="15">
      <c r="A146" s="28"/>
      <c r="D146" s="1" t="s">
        <v>481</v>
      </c>
      <c r="J146" s="28"/>
    </row>
    <row r="147" ht="15">
      <c r="A147" s="28"/>
      <c r="D147" s="1" t="s">
        <v>481</v>
      </c>
      <c r="J147" s="28"/>
    </row>
    <row r="148" ht="15">
      <c r="A148" s="28"/>
      <c r="D148" s="1" t="s">
        <v>481</v>
      </c>
      <c r="J148" s="28"/>
    </row>
    <row r="149" ht="15">
      <c r="A149" s="28"/>
      <c r="D149" s="1" t="s">
        <v>481</v>
      </c>
      <c r="J149" s="28"/>
    </row>
    <row r="150" ht="15">
      <c r="A150" s="28"/>
      <c r="D150" s="1" t="s">
        <v>481</v>
      </c>
      <c r="J150" s="28"/>
    </row>
    <row r="151" ht="15">
      <c r="A151" s="28"/>
      <c r="D151" s="1" t="s">
        <v>481</v>
      </c>
      <c r="J151" s="28"/>
    </row>
    <row r="152" ht="15">
      <c r="A152" s="28"/>
      <c r="D152" s="1" t="s">
        <v>481</v>
      </c>
      <c r="J152" s="28"/>
    </row>
    <row r="153" ht="15">
      <c r="A153" s="28"/>
      <c r="D153" s="1" t="s">
        <v>481</v>
      </c>
      <c r="J153" s="28"/>
    </row>
    <row r="154" ht="15">
      <c r="A154" s="28"/>
      <c r="D154" s="1" t="s">
        <v>481</v>
      </c>
      <c r="J154" s="28"/>
    </row>
    <row r="155" ht="15">
      <c r="A155" s="28"/>
      <c r="D155" s="1" t="s">
        <v>481</v>
      </c>
      <c r="J155" s="28"/>
    </row>
    <row r="156" ht="15">
      <c r="A156" s="28"/>
      <c r="D156" s="1" t="s">
        <v>481</v>
      </c>
      <c r="J156" s="28"/>
    </row>
    <row r="157" ht="15">
      <c r="A157" s="28"/>
      <c r="D157" s="1" t="s">
        <v>481</v>
      </c>
      <c r="J157" s="28"/>
    </row>
    <row r="158" ht="15">
      <c r="A158" s="28"/>
      <c r="D158" s="1" t="s">
        <v>481</v>
      </c>
      <c r="J158" s="28"/>
    </row>
    <row r="159" ht="15">
      <c r="A159" s="28"/>
      <c r="D159" s="1" t="s">
        <v>481</v>
      </c>
      <c r="J159" s="28"/>
    </row>
    <row r="160" ht="15">
      <c r="A160" s="28"/>
      <c r="D160" s="1" t="s">
        <v>481</v>
      </c>
      <c r="J160" s="28"/>
    </row>
    <row r="161" ht="15">
      <c r="A161" s="28"/>
      <c r="D161" s="1" t="s">
        <v>481</v>
      </c>
      <c r="J161" s="28"/>
    </row>
    <row r="162" ht="15">
      <c r="A162" s="28"/>
      <c r="D162" s="1" t="s">
        <v>481</v>
      </c>
      <c r="J162" s="28"/>
    </row>
    <row r="163" ht="15">
      <c r="A163" s="28"/>
      <c r="D163" s="1" t="s">
        <v>481</v>
      </c>
      <c r="J163" s="28"/>
    </row>
    <row r="164" ht="15">
      <c r="A164" s="28"/>
      <c r="D164" s="1" t="s">
        <v>481</v>
      </c>
      <c r="J164" s="28"/>
    </row>
    <row r="165" ht="15">
      <c r="A165" s="28"/>
      <c r="D165" s="1" t="s">
        <v>481</v>
      </c>
      <c r="J165" s="28"/>
    </row>
    <row r="166" ht="15">
      <c r="A166" s="28"/>
      <c r="D166" s="1" t="s">
        <v>481</v>
      </c>
      <c r="J166" s="28"/>
    </row>
    <row r="167" ht="15">
      <c r="A167" s="28"/>
      <c r="D167" s="1" t="s">
        <v>481</v>
      </c>
      <c r="J167" s="28"/>
    </row>
    <row r="168" ht="15">
      <c r="A168" s="28"/>
      <c r="D168" s="1" t="s">
        <v>481</v>
      </c>
      <c r="J168" s="28"/>
    </row>
    <row r="169" ht="15">
      <c r="A169" s="28"/>
      <c r="D169" s="1" t="s">
        <v>481</v>
      </c>
      <c r="J169" s="28"/>
    </row>
    <row r="170" ht="15">
      <c r="A170" s="28"/>
      <c r="D170" s="1" t="s">
        <v>481</v>
      </c>
      <c r="J170" s="28"/>
    </row>
    <row r="171" ht="15">
      <c r="A171" s="28"/>
      <c r="D171" s="1" t="s">
        <v>481</v>
      </c>
      <c r="J171" s="28"/>
    </row>
    <row r="172" ht="15">
      <c r="A172" s="28"/>
      <c r="D172" s="1" t="s">
        <v>481</v>
      </c>
      <c r="J172" s="28"/>
    </row>
    <row r="173" ht="15">
      <c r="A173" s="28"/>
      <c r="D173" s="1" t="s">
        <v>481</v>
      </c>
      <c r="J173" s="28"/>
    </row>
    <row r="174" ht="15">
      <c r="A174" s="28"/>
      <c r="D174" s="1" t="s">
        <v>481</v>
      </c>
      <c r="J174" s="28"/>
    </row>
    <row r="175" ht="15">
      <c r="A175" s="28"/>
      <c r="D175" s="1" t="s">
        <v>481</v>
      </c>
      <c r="J175" s="28"/>
    </row>
    <row r="176" ht="15">
      <c r="A176" s="28"/>
      <c r="D176" s="1" t="s">
        <v>481</v>
      </c>
      <c r="J176" s="28"/>
    </row>
    <row r="177" ht="15">
      <c r="A177" s="28"/>
      <c r="D177" s="1" t="s">
        <v>481</v>
      </c>
      <c r="J177" s="28"/>
    </row>
    <row r="178" ht="15">
      <c r="A178" s="28"/>
      <c r="D178" s="1" t="s">
        <v>481</v>
      </c>
      <c r="J178" s="28"/>
    </row>
    <row r="179" ht="15">
      <c r="A179" s="28"/>
      <c r="D179" s="1" t="s">
        <v>481</v>
      </c>
      <c r="J179" s="28"/>
    </row>
    <row r="180" ht="15">
      <c r="A180" s="28"/>
      <c r="D180" s="1" t="s">
        <v>481</v>
      </c>
      <c r="J180" s="28"/>
    </row>
    <row r="181" ht="15">
      <c r="A181" s="28"/>
      <c r="D181" s="1" t="s">
        <v>481</v>
      </c>
      <c r="J181" s="28"/>
    </row>
    <row r="182" ht="15">
      <c r="A182" s="28"/>
      <c r="D182" s="1" t="s">
        <v>481</v>
      </c>
      <c r="J182" s="28"/>
    </row>
    <row r="183" ht="15">
      <c r="A183" s="28"/>
      <c r="D183" s="1" t="s">
        <v>481</v>
      </c>
      <c r="J183" s="28"/>
    </row>
    <row r="184" ht="15">
      <c r="A184" s="28"/>
      <c r="D184" s="1" t="s">
        <v>481</v>
      </c>
      <c r="J184" s="28"/>
    </row>
    <row r="185" ht="15">
      <c r="A185" s="28"/>
      <c r="D185" s="1" t="s">
        <v>481</v>
      </c>
      <c r="J185" s="28"/>
    </row>
    <row r="186" ht="15">
      <c r="A186" s="28"/>
      <c r="D186" s="1" t="s">
        <v>481</v>
      </c>
      <c r="J186" s="28"/>
    </row>
    <row r="187" ht="15">
      <c r="A187" s="28"/>
      <c r="D187" s="1" t="s">
        <v>481</v>
      </c>
      <c r="J187" s="28"/>
    </row>
    <row r="188" ht="15">
      <c r="A188" s="28"/>
      <c r="D188" s="1" t="s">
        <v>481</v>
      </c>
      <c r="J188" s="28"/>
    </row>
    <row r="189" ht="15">
      <c r="A189" s="28"/>
      <c r="D189" s="1" t="s">
        <v>481</v>
      </c>
      <c r="J189" s="28"/>
    </row>
    <row r="190" ht="15">
      <c r="A190" s="28"/>
      <c r="D190" s="1" t="s">
        <v>481</v>
      </c>
      <c r="J190" s="28"/>
    </row>
    <row r="191" ht="15">
      <c r="A191" s="28"/>
      <c r="D191" s="1" t="s">
        <v>481</v>
      </c>
      <c r="J191" s="28"/>
    </row>
    <row r="192" ht="15">
      <c r="A192" s="28"/>
      <c r="D192" s="1" t="s">
        <v>481</v>
      </c>
      <c r="J192" s="28"/>
    </row>
    <row r="193" ht="15">
      <c r="A193" s="28"/>
      <c r="D193" s="1" t="s">
        <v>481</v>
      </c>
      <c r="J193" s="28"/>
    </row>
    <row r="194" ht="15">
      <c r="A194" s="28"/>
      <c r="D194" s="1" t="s">
        <v>481</v>
      </c>
      <c r="J194" s="28"/>
    </row>
    <row r="195" ht="15">
      <c r="A195" s="28"/>
      <c r="D195" s="1" t="s">
        <v>481</v>
      </c>
      <c r="J195" s="28"/>
    </row>
    <row r="196" ht="15">
      <c r="A196" s="28"/>
      <c r="D196" s="1" t="s">
        <v>481</v>
      </c>
      <c r="J196" s="28"/>
    </row>
    <row r="197" ht="15">
      <c r="A197" s="28"/>
      <c r="D197" s="1" t="s">
        <v>481</v>
      </c>
      <c r="J197" s="28"/>
    </row>
    <row r="198" ht="15">
      <c r="A198" s="28"/>
      <c r="D198" s="1" t="s">
        <v>481</v>
      </c>
      <c r="J198" s="28"/>
    </row>
    <row r="199" ht="15">
      <c r="A199" s="28"/>
      <c r="D199" s="1" t="s">
        <v>481</v>
      </c>
      <c r="J199" s="28"/>
    </row>
    <row r="200" ht="15">
      <c r="A200" s="28"/>
      <c r="D200" s="1" t="s">
        <v>481</v>
      </c>
      <c r="J200" s="28"/>
    </row>
    <row r="201" ht="15">
      <c r="A201" s="28"/>
      <c r="D201" s="1" t="s">
        <v>481</v>
      </c>
      <c r="J201" s="28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D2A246AA-4F16-4E26-9D2B-D6FE2163F839}" type="list" allowBlank="0" errorStyle="stop" imeMode="noControl" operator="between" showDropDown="0" showErrorMessage="0" showInputMessage="0">
          <x14:formula1>
            <xm:f>"Build,Troubleshoot,Rebuild,Timed Mock,Review"</xm:f>
          </x14:formula1>
          <x14:formula2>
            <xm:f>0</xm:f>
          </x14:formula2>
          <xm:sqref>D2:D201</xm:sqref>
        </x14:dataValidation>
        <x14:dataValidation xr:uid="{382C417B-8BC6-444A-BFEE-589C864C44C7}" type="list" allowBlank="0" errorStyle="stop" imeMode="noControl" operator="between" showDropDown="0" showErrorMessage="0" showInputMessage="0">
          <x14:formula1>
            <xm:f>"Pass,Partial,Fail"</xm:f>
          </x14:formula1>
          <x14:formula2>
            <xm:f>0</xm:f>
          </x14:formula2>
          <xm:sqref>E2:E201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9.7578125" defaultRowHeight="15"/>
  <cols>
    <col customWidth="1" min="1" max="1" style="1" width="20.43"/>
    <col customWidth="1" min="2" max="2" style="1" width="73.780000000000001"/>
    <col customWidth="1" min="3" max="3" style="1" width="96.489999999999995"/>
  </cols>
  <sheetData>
    <row r="1" ht="34" customHeight="1">
      <c r="A1" s="26" t="s">
        <v>482</v>
      </c>
      <c r="B1" s="26"/>
      <c r="C1" s="26"/>
      <c r="D1" s="26"/>
      <c r="E1" s="26"/>
      <c r="F1" s="26"/>
    </row>
    <row r="3" ht="15">
      <c r="A3" s="27" t="s">
        <v>483</v>
      </c>
      <c r="B3" s="27" t="s">
        <v>484</v>
      </c>
      <c r="C3" s="27" t="s">
        <v>485</v>
      </c>
    </row>
    <row r="4" ht="15">
      <c r="A4" s="27" t="s">
        <v>486</v>
      </c>
      <c r="B4" s="27" t="s">
        <v>487</v>
      </c>
      <c r="C4" s="27" t="s">
        <v>488</v>
      </c>
    </row>
    <row r="5" ht="15">
      <c r="A5" s="27" t="s">
        <v>489</v>
      </c>
      <c r="B5" s="27" t="s">
        <v>481</v>
      </c>
      <c r="C5" s="27" t="s">
        <v>490</v>
      </c>
    </row>
    <row r="6" ht="15">
      <c r="A6" s="27" t="s">
        <v>491</v>
      </c>
      <c r="B6" s="27" t="s">
        <v>492</v>
      </c>
      <c r="C6" s="27" t="s">
        <v>493</v>
      </c>
    </row>
    <row r="7" ht="15">
      <c r="A7" s="27" t="s">
        <v>494</v>
      </c>
      <c r="B7" s="27" t="s">
        <v>495</v>
      </c>
      <c r="C7" s="27" t="s">
        <v>496</v>
      </c>
    </row>
    <row r="8" ht="15">
      <c r="A8" s="27" t="s">
        <v>497</v>
      </c>
      <c r="B8" s="27" t="s">
        <v>498</v>
      </c>
      <c r="C8" s="27" t="s">
        <v>499</v>
      </c>
    </row>
    <row r="9" ht="15">
      <c r="A9" s="27" t="s">
        <v>500</v>
      </c>
      <c r="B9" s="27" t="s">
        <v>501</v>
      </c>
      <c r="C9" s="27" t="s">
        <v>502</v>
      </c>
    </row>
    <row r="10" ht="15">
      <c r="A10" s="27" t="s">
        <v>503</v>
      </c>
      <c r="B10" s="27" t="s">
        <v>504</v>
      </c>
      <c r="C10" s="27" t="s">
        <v>505</v>
      </c>
    </row>
    <row r="11" ht="15">
      <c r="A11" s="27" t="s">
        <v>506</v>
      </c>
      <c r="B11" s="27" t="s">
        <v>507</v>
      </c>
      <c r="C11" s="27" t="s">
        <v>508</v>
      </c>
    </row>
    <row r="12" ht="15">
      <c r="A12" s="27" t="s">
        <v>509</v>
      </c>
      <c r="B12" s="27" t="s">
        <v>510</v>
      </c>
      <c r="C12" s="27" t="s">
        <v>511</v>
      </c>
    </row>
    <row r="13" ht="15">
      <c r="A13" s="27" t="s">
        <v>512</v>
      </c>
      <c r="B13" s="27" t="s">
        <v>513</v>
      </c>
      <c r="C13" s="27" t="s">
        <v>514</v>
      </c>
    </row>
    <row r="15" ht="15">
      <c r="A15" s="31" t="s">
        <v>515</v>
      </c>
      <c r="B15" s="31"/>
      <c r="C15" s="31"/>
      <c r="D15" s="31"/>
      <c r="E15" s="31"/>
      <c r="F15" s="31"/>
    </row>
    <row r="17" ht="15">
      <c r="A17" s="27" t="s">
        <v>516</v>
      </c>
      <c r="B17" s="27" t="s">
        <v>517</v>
      </c>
    </row>
    <row r="18" ht="23.850000000000001">
      <c r="A18" s="27" t="s">
        <v>518</v>
      </c>
      <c r="B18" s="27" t="s">
        <v>519</v>
      </c>
    </row>
    <row r="19" ht="23.850000000000001">
      <c r="A19" s="27" t="s">
        <v>520</v>
      </c>
      <c r="B19" s="27" t="s">
        <v>521</v>
      </c>
    </row>
    <row r="20" ht="23.850000000000001">
      <c r="A20" s="27" t="s">
        <v>522</v>
      </c>
      <c r="B20" s="27" t="s">
        <v>523</v>
      </c>
    </row>
    <row r="21" ht="15">
      <c r="A21" s="27" t="s">
        <v>372</v>
      </c>
      <c r="B21" s="27" t="s">
        <v>524</v>
      </c>
    </row>
    <row r="22" ht="15">
      <c r="A22" s="27" t="s">
        <v>525</v>
      </c>
      <c r="B22" s="27" t="s">
        <v>526</v>
      </c>
    </row>
    <row r="23" ht="15">
      <c r="A23" s="27" t="s">
        <v>527</v>
      </c>
      <c r="B23" s="27" t="s">
        <v>528</v>
      </c>
    </row>
    <row r="25" ht="15" customHeight="1">
      <c r="A25" s="32" t="s">
        <v>529</v>
      </c>
      <c r="B25" s="32"/>
      <c r="C25" s="32"/>
      <c r="D25" s="32"/>
      <c r="E25" s="32"/>
      <c r="F25" s="32"/>
    </row>
  </sheetData>
  <mergeCells count="3">
    <mergeCell ref="A1:F1"/>
    <mergeCell ref="A15:F15"/>
    <mergeCell ref="A25:F25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9.7578125" defaultRowHeight="15"/>
  <cols>
    <col customWidth="1" min="1" max="4" style="1" width="22.699999999999999"/>
  </cols>
  <sheetData>
    <row r="1" ht="15">
      <c r="A1" s="1" t="s">
        <v>35</v>
      </c>
      <c r="B1" s="1" t="s">
        <v>530</v>
      </c>
      <c r="C1" s="1" t="s">
        <v>32</v>
      </c>
      <c r="D1" s="1" t="s">
        <v>33</v>
      </c>
    </row>
    <row r="2" ht="15">
      <c r="A2" s="1" t="s">
        <v>57</v>
      </c>
      <c r="B2" s="1">
        <v>0</v>
      </c>
      <c r="C2" s="1" t="s">
        <v>47</v>
      </c>
      <c r="D2" s="1" t="s">
        <v>48</v>
      </c>
    </row>
    <row r="3" ht="15">
      <c r="A3" s="1" t="s">
        <v>531</v>
      </c>
      <c r="B3" s="1">
        <v>1</v>
      </c>
      <c r="C3" s="1" t="s">
        <v>83</v>
      </c>
      <c r="D3" s="1" t="s">
        <v>203</v>
      </c>
    </row>
    <row r="4" ht="15">
      <c r="A4" s="1" t="s">
        <v>49</v>
      </c>
      <c r="B4" s="1">
        <v>2</v>
      </c>
      <c r="C4" s="1" t="s">
        <v>156</v>
      </c>
    </row>
    <row r="5" ht="15">
      <c r="A5" s="1" t="s">
        <v>532</v>
      </c>
      <c r="B5" s="1">
        <v>3</v>
      </c>
    </row>
    <row r="6" ht="15">
      <c r="B6" s="1">
        <v>4</v>
      </c>
    </row>
    <row r="7" ht="15">
      <c r="B7" s="1">
        <v>5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5</cp:revision>
  <dcterms:modified xsi:type="dcterms:W3CDTF">2026-08-17T21:36:58Z</dcterms:modified>
</cp:coreProperties>
</file>